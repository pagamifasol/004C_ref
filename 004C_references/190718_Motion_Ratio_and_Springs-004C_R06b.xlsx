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59\Documents\Vehicle Dynamics\"/>
    </mc:Choice>
  </mc:AlternateContent>
  <xr:revisionPtr revIDLastSave="0" documentId="13_ncr:1_{DE17C0A3-576B-4683-957F-6EB3FC76A4E2}" xr6:coauthVersionLast="43" xr6:coauthVersionMax="43" xr10:uidLastSave="{00000000-0000-0000-0000-000000000000}"/>
  <bookViews>
    <workbookView xWindow="-120" yWindow="-120" windowWidth="38640" windowHeight="15840" activeTab="4" xr2:uid="{0212444A-FBE1-471B-AA44-F03E5462246B}"/>
  </bookViews>
  <sheets>
    <sheet name="004C_Front-Soft" sheetId="9" r:id="rId1"/>
    <sheet name="004C_Rear-Soft" sheetId="4" r:id="rId2"/>
    <sheet name="004C_Front-Stiff" sheetId="10" r:id="rId3"/>
    <sheet name="004C_Rear-Stiff" sheetId="11" r:id="rId4"/>
    <sheet name="KW Springs" sheetId="14" r:id="rId5"/>
    <sheet name="Eibach Springs" sheetId="5" r:id="rId6"/>
    <sheet name="KW-Data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3" i="4" l="1"/>
  <c r="H13" i="11"/>
  <c r="H13" i="10"/>
  <c r="H13" i="9"/>
  <c r="F14" i="9"/>
  <c r="F15" i="11" l="1"/>
  <c r="F14" i="11"/>
  <c r="D11" i="11"/>
  <c r="D12" i="11" s="1"/>
  <c r="D13" i="11" s="1"/>
  <c r="D14" i="11" s="1"/>
  <c r="F10" i="11"/>
  <c r="D10" i="11"/>
  <c r="P7" i="11"/>
  <c r="D5" i="11"/>
  <c r="F15" i="10"/>
  <c r="F14" i="10"/>
  <c r="F13" i="10"/>
  <c r="D10" i="10"/>
  <c r="F10" i="10"/>
  <c r="D5" i="10"/>
  <c r="D6" i="9"/>
  <c r="F10" i="9" s="1"/>
  <c r="D5" i="9"/>
  <c r="F15" i="9"/>
  <c r="F13" i="9"/>
  <c r="D10" i="9"/>
  <c r="F15" i="4"/>
  <c r="D10" i="4"/>
  <c r="F14" i="4"/>
  <c r="F10" i="4"/>
  <c r="D5" i="4"/>
  <c r="D15" i="11" l="1"/>
  <c r="D11" i="10"/>
  <c r="D12" i="10" s="1"/>
  <c r="D13" i="10" s="1"/>
  <c r="D14" i="10" s="1"/>
  <c r="F13" i="11"/>
  <c r="D11" i="9"/>
  <c r="D12" i="9" s="1"/>
  <c r="D13" i="9" s="1"/>
  <c r="D14" i="9" s="1"/>
  <c r="D15" i="10" l="1"/>
  <c r="D15" i="9"/>
  <c r="P7" i="4" l="1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5" i="5"/>
  <c r="F13" i="4"/>
  <c r="D11" i="4" l="1"/>
  <c r="D15" i="4" s="1"/>
  <c r="D12" i="4" l="1"/>
  <c r="D13" i="4" l="1"/>
  <c r="D14" i="4" s="1"/>
</calcChain>
</file>

<file path=xl/sharedStrings.xml><?xml version="1.0" encoding="utf-8"?>
<sst xmlns="http://schemas.openxmlformats.org/spreadsheetml/2006/main" count="237" uniqueCount="77">
  <si>
    <t>Car</t>
  </si>
  <si>
    <t>Spring K</t>
  </si>
  <si>
    <t>MR</t>
  </si>
  <si>
    <t>[N/mm]</t>
  </si>
  <si>
    <t>[-]</t>
  </si>
  <si>
    <t>[kg]</t>
  </si>
  <si>
    <t>Spring preload</t>
  </si>
  <si>
    <t>[mm]</t>
  </si>
  <si>
    <t>Remaining spring bump</t>
  </si>
  <si>
    <t>Remaining wheel bump</t>
  </si>
  <si>
    <t>Wheel preload</t>
  </si>
  <si>
    <t>Input</t>
  </si>
  <si>
    <t>Axle</t>
  </si>
  <si>
    <t>Inner diameter [mm]</t>
  </si>
  <si>
    <t>Output</t>
  </si>
  <si>
    <t>Desired value</t>
  </si>
  <si>
    <t>Keeping around at least 5mm of spring compression cleareance</t>
  </si>
  <si>
    <t>Rear</t>
  </si>
  <si>
    <t>Ground K 1-dof</t>
  </si>
  <si>
    <t>170-60-0030</t>
  </si>
  <si>
    <t>170-60-0040</t>
  </si>
  <si>
    <t>170-60-0050</t>
  </si>
  <si>
    <t>170-60-0060</t>
  </si>
  <si>
    <t>170-60-0070</t>
  </si>
  <si>
    <t>170-60-0080</t>
  </si>
  <si>
    <t>170-60-0090</t>
  </si>
  <si>
    <t>170-60-0100</t>
  </si>
  <si>
    <t>170-60-0110</t>
  </si>
  <si>
    <t>170-60-0120</t>
  </si>
  <si>
    <t>170-60-0130</t>
  </si>
  <si>
    <t>170-60-0140</t>
  </si>
  <si>
    <t>170-60-0150</t>
  </si>
  <si>
    <t>170-60-0160</t>
  </si>
  <si>
    <t>170-60-0170</t>
  </si>
  <si>
    <t>170-60-0180</t>
  </si>
  <si>
    <t>170-60-0190</t>
  </si>
  <si>
    <t>170-60-0200</t>
  </si>
  <si>
    <t>170-60-0220</t>
  </si>
  <si>
    <t>170-60-0240</t>
  </si>
  <si>
    <t>170-60-0260</t>
  </si>
  <si>
    <t>170-60-0280</t>
  </si>
  <si>
    <t>170-60-0300</t>
  </si>
  <si>
    <t>Catalog number</t>
  </si>
  <si>
    <t>Max Energy [J]</t>
  </si>
  <si>
    <t>Max spring energy req.</t>
  </si>
  <si>
    <t>[J]</t>
  </si>
  <si>
    <t>Selected spring</t>
  </si>
  <si>
    <t>Length [mm]</t>
  </si>
  <si>
    <t>Rate [N/mm]</t>
  </si>
  <si>
    <t>Block height [mm]</t>
  </si>
  <si>
    <t>Travel [mm]</t>
  </si>
  <si>
    <t>Load at block height [N]</t>
  </si>
  <si>
    <t>Weight [kg]</t>
  </si>
  <si>
    <t>Eibach 60mm ID</t>
  </si>
  <si>
    <t>Will need an helper spring for rebound</t>
  </si>
  <si>
    <t>Corner mass</t>
  </si>
  <si>
    <t>140-60-0190</t>
  </si>
  <si>
    <t>SCG004C - R06b</t>
  </si>
  <si>
    <t>140-60-0300</t>
  </si>
  <si>
    <t>Bump travel</t>
  </si>
  <si>
    <t>140-60-0240</t>
  </si>
  <si>
    <t>140-60-0400</t>
  </si>
  <si>
    <t>Front</t>
  </si>
  <si>
    <t>Corner sprung mass</t>
  </si>
  <si>
    <t>Corner unsprung mass</t>
  </si>
  <si>
    <t>190 to 240</t>
  </si>
  <si>
    <t>Motion Ratio</t>
  </si>
  <si>
    <t>Damper compressed length</t>
  </si>
  <si>
    <t>Spring travel req. 190</t>
  </si>
  <si>
    <t>Spring travel req. 240</t>
  </si>
  <si>
    <t>Damper extended length</t>
  </si>
  <si>
    <t>Damper bump travel</t>
  </si>
  <si>
    <t>Damper rebound travel</t>
  </si>
  <si>
    <t>290 to 400</t>
  </si>
  <si>
    <t>Spring travel req. 290</t>
  </si>
  <si>
    <t>Spring travel req. 400</t>
  </si>
  <si>
    <t>Spring stiffness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</si>
</sst>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0" borderId="10" xfId="0" applyBorder="1"/>
    <xf numFmtId="0" fontId="1" fillId="0" borderId="6" xfId="0" applyFont="1" applyBorder="1"/>
    <xf numFmtId="0" fontId="0" fillId="0" borderId="8" xfId="0" applyBorder="1"/>
    <xf numFmtId="0" fontId="1" fillId="0" borderId="9" xfId="0" applyFont="1" applyBorder="1"/>
    <xf numFmtId="3" fontId="0" fillId="0" borderId="0" xfId="0" applyNumberFormat="1"/>
    <xf numFmtId="165" fontId="0" fillId="0" borderId="3" xfId="0" applyNumberFormat="1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4" xfId="0" applyNumberFormat="1" applyFill="1" applyBorder="1" applyAlignment="1">
      <alignment horizontal="center"/>
    </xf>
    <xf numFmtId="164" fontId="0" fillId="0" borderId="0" xfId="0" applyNumberFormat="1" applyFill="1"/>
    <xf numFmtId="164" fontId="0" fillId="4" borderId="0" xfId="0" applyNumberFormat="1" applyFill="1"/>
    <xf numFmtId="1" fontId="0" fillId="0" borderId="0" xfId="0" applyNumberFormat="1" applyFill="1"/>
    <xf numFmtId="0" fontId="0" fillId="0" borderId="2" xfId="0" applyBorder="1"/>
    <xf numFmtId="165" fontId="0" fillId="0" borderId="0" xfId="0" applyNumberFormat="1"/>
    <xf numFmtId="0" fontId="0" fillId="0" borderId="14" xfId="0" applyBorder="1"/>
    <xf numFmtId="0" fontId="0" fillId="0" borderId="14" xfId="0" applyBorder="1" applyAlignment="1">
      <alignment horizontal="right"/>
    </xf>
    <xf numFmtId="0" fontId="1" fillId="0" borderId="8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447675</xdr:colOff>
      <xdr:row>23</xdr:row>
      <xdr:rowOff>133350</xdr:rowOff>
    </xdr:to>
    <xdr:pic>
      <xdr:nvPicPr>
        <xdr:cNvPr id="2" name="Grafik 6" descr="image006">
          <a:extLst>
            <a:ext uri="{FF2B5EF4-FFF2-40B4-BE49-F238E27FC236}">
              <a16:creationId xmlns:a16="http://schemas.microsoft.com/office/drawing/2014/main" id="{2454FC8F-B912-41EE-9DE9-E6A416915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4105275" cy="432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7</xdr:col>
      <xdr:colOff>275595</xdr:colOff>
      <xdr:row>67</xdr:row>
      <xdr:rowOff>46690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A5FE4-6027-432C-B23A-E0940F999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5362575"/>
          <a:ext cx="5038095" cy="747619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381000</xdr:colOff>
      <xdr:row>28</xdr:row>
      <xdr:rowOff>0</xdr:rowOff>
    </xdr:from>
    <xdr:to>
      <xdr:col>14</xdr:col>
      <xdr:colOff>75576</xdr:colOff>
      <xdr:row>67</xdr:row>
      <xdr:rowOff>56214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C009EF-72A9-4168-B500-DDF393320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1150" y="5362575"/>
          <a:ext cx="4990476" cy="7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B449-3A1E-401A-9371-831C8A7AB2D2}">
  <sheetPr>
    <tabColor rgb="FFFFC000"/>
  </sheetPr>
  <dimension ref="B1:P18"/>
  <sheetViews>
    <sheetView zoomScale="90" zoomScaleNormal="90" workbookViewId="0">
      <selection activeCell="F13" sqref="F13"/>
    </sheetView>
  </sheetViews>
  <sheetFormatPr defaultRowHeight="15" x14ac:dyDescent="0.25"/>
  <cols>
    <col min="1" max="1" width="3.7109375" customWidth="1"/>
    <col min="3" max="3" width="22.28515625" style="3" bestFit="1" customWidth="1"/>
    <col min="6" max="6" width="14" customWidth="1"/>
    <col min="7" max="7" width="5.28515625" customWidth="1"/>
    <col min="8" max="8" width="15.85546875" customWidth="1"/>
    <col min="9" max="9" width="10" bestFit="1" customWidth="1"/>
    <col min="10" max="10" width="12.85546875" customWidth="1"/>
    <col min="11" max="11" width="12.140625" customWidth="1"/>
    <col min="12" max="12" width="13.85546875" customWidth="1"/>
    <col min="13" max="13" width="9.7109375" customWidth="1"/>
    <col min="14" max="14" width="19.140625" customWidth="1"/>
    <col min="16" max="16" width="11.42578125" customWidth="1"/>
  </cols>
  <sheetData>
    <row r="1" spans="2:16" ht="15.75" thickBot="1" x14ac:dyDescent="0.3"/>
    <row r="2" spans="2:16" x14ac:dyDescent="0.25">
      <c r="B2" s="12" t="s">
        <v>0</v>
      </c>
      <c r="C2" s="13" t="s">
        <v>57</v>
      </c>
    </row>
    <row r="3" spans="2:16" ht="15.75" thickBot="1" x14ac:dyDescent="0.3">
      <c r="B3" s="14" t="s">
        <v>12</v>
      </c>
      <c r="C3" s="11" t="s">
        <v>62</v>
      </c>
    </row>
    <row r="4" spans="2:16" ht="14.25" customHeight="1" thickBot="1" x14ac:dyDescent="0.3">
      <c r="F4" s="6" t="s">
        <v>15</v>
      </c>
      <c r="H4" s="31" t="s">
        <v>46</v>
      </c>
      <c r="I4" s="32"/>
      <c r="J4" s="32"/>
      <c r="K4" s="32"/>
      <c r="L4" s="32"/>
      <c r="M4" s="32"/>
      <c r="N4" s="32"/>
      <c r="O4" s="32"/>
      <c r="P4" s="33"/>
    </row>
    <row r="5" spans="2:16" ht="15" customHeight="1" x14ac:dyDescent="0.25">
      <c r="B5" s="28" t="s">
        <v>11</v>
      </c>
      <c r="C5" s="3" t="s">
        <v>55</v>
      </c>
      <c r="D5">
        <f>(1300*0.44-110)/2</f>
        <v>231</v>
      </c>
      <c r="E5" t="s">
        <v>5</v>
      </c>
      <c r="F5" s="22"/>
      <c r="H5" s="34" t="s">
        <v>42</v>
      </c>
      <c r="I5" s="36" t="s">
        <v>47</v>
      </c>
      <c r="J5" s="36" t="s">
        <v>13</v>
      </c>
      <c r="K5" s="36" t="s">
        <v>48</v>
      </c>
      <c r="L5" s="36" t="s">
        <v>49</v>
      </c>
      <c r="M5" s="36" t="s">
        <v>50</v>
      </c>
      <c r="N5" s="36" t="s">
        <v>51</v>
      </c>
      <c r="O5" s="36" t="s">
        <v>52</v>
      </c>
      <c r="P5" s="26" t="s">
        <v>43</v>
      </c>
    </row>
    <row r="6" spans="2:16" ht="15.75" thickBot="1" x14ac:dyDescent="0.3">
      <c r="B6" s="29"/>
      <c r="C6" s="3" t="s">
        <v>1</v>
      </c>
      <c r="D6">
        <f>K7</f>
        <v>190</v>
      </c>
      <c r="E6" t="s">
        <v>3</v>
      </c>
      <c r="F6" s="5"/>
      <c r="H6" s="35"/>
      <c r="I6" s="37"/>
      <c r="J6" s="37"/>
      <c r="K6" s="37"/>
      <c r="L6" s="37"/>
      <c r="M6" s="37"/>
      <c r="N6" s="37"/>
      <c r="O6" s="37"/>
      <c r="P6" s="27"/>
    </row>
    <row r="7" spans="2:16" x14ac:dyDescent="0.25">
      <c r="B7" s="29"/>
      <c r="C7" s="3" t="s">
        <v>2</v>
      </c>
      <c r="D7" s="1">
        <v>1.47</v>
      </c>
      <c r="E7" t="s">
        <v>4</v>
      </c>
      <c r="F7" s="5"/>
      <c r="H7" t="s">
        <v>56</v>
      </c>
      <c r="I7">
        <v>140</v>
      </c>
      <c r="J7">
        <v>61.75</v>
      </c>
      <c r="K7">
        <v>190</v>
      </c>
      <c r="L7" s="1">
        <v>64.930000000000007</v>
      </c>
      <c r="M7" s="1">
        <v>75.08</v>
      </c>
      <c r="N7">
        <v>14264</v>
      </c>
      <c r="O7" s="1">
        <v>1.2</v>
      </c>
      <c r="P7" s="21">
        <v>535.51560799999993</v>
      </c>
    </row>
    <row r="8" spans="2:16" ht="15.75" thickBot="1" x14ac:dyDescent="0.3">
      <c r="B8" s="30"/>
      <c r="C8" s="3" t="s">
        <v>59</v>
      </c>
      <c r="D8">
        <v>60</v>
      </c>
      <c r="E8" t="s">
        <v>7</v>
      </c>
      <c r="F8" s="5"/>
    </row>
    <row r="9" spans="2:16" ht="15.75" thickBot="1" x14ac:dyDescent="0.3">
      <c r="F9" s="5"/>
      <c r="J9" s="4"/>
    </row>
    <row r="10" spans="2:16" ht="15" customHeight="1" x14ac:dyDescent="0.25">
      <c r="B10" s="28" t="s">
        <v>14</v>
      </c>
      <c r="C10" s="3" t="s">
        <v>18</v>
      </c>
      <c r="D10" s="20">
        <f>K7/D7^2</f>
        <v>87.926326993382389</v>
      </c>
      <c r="E10" t="s">
        <v>3</v>
      </c>
      <c r="F10" s="16">
        <f>D6/D7^2</f>
        <v>87.926326993382389</v>
      </c>
    </row>
    <row r="11" spans="2:16" x14ac:dyDescent="0.25">
      <c r="B11" s="29"/>
      <c r="C11" s="3" t="s">
        <v>10</v>
      </c>
      <c r="D11" s="19">
        <f>D5*9.81/D10</f>
        <v>25.772826836842107</v>
      </c>
      <c r="E11" t="s">
        <v>7</v>
      </c>
      <c r="F11" s="5"/>
    </row>
    <row r="12" spans="2:16" x14ac:dyDescent="0.25">
      <c r="B12" s="29"/>
      <c r="C12" s="3" t="s">
        <v>6</v>
      </c>
      <c r="D12" s="19">
        <f>D11/D7</f>
        <v>17.532535263157897</v>
      </c>
      <c r="E12" t="s">
        <v>7</v>
      </c>
      <c r="F12" s="5"/>
    </row>
    <row r="13" spans="2:16" x14ac:dyDescent="0.25">
      <c r="B13" s="29"/>
      <c r="C13" s="3" t="s">
        <v>8</v>
      </c>
      <c r="D13" s="19">
        <f>M7-D12</f>
        <v>57.547464736842102</v>
      </c>
      <c r="E13" t="s">
        <v>7</v>
      </c>
      <c r="F13" s="17">
        <f>F14/D7</f>
        <v>40.816326530612244</v>
      </c>
      <c r="H13" s="23">
        <f>F13+D12</f>
        <v>58.348861793770141</v>
      </c>
    </row>
    <row r="14" spans="2:16" x14ac:dyDescent="0.25">
      <c r="B14" s="29"/>
      <c r="C14" s="3" t="s">
        <v>9</v>
      </c>
      <c r="D14" s="20">
        <f>D13*D7</f>
        <v>84.594773163157882</v>
      </c>
      <c r="E14" t="s">
        <v>7</v>
      </c>
      <c r="F14" s="16">
        <f>D8</f>
        <v>60</v>
      </c>
    </row>
    <row r="15" spans="2:16" ht="15.75" thickBot="1" x14ac:dyDescent="0.3">
      <c r="B15" s="30"/>
      <c r="C15" s="3" t="s">
        <v>44</v>
      </c>
      <c r="D15" s="20">
        <f>0.5*((F14+D11)/1000)^2*F10*1000</f>
        <v>323.4360188997066</v>
      </c>
      <c r="E15" t="s">
        <v>45</v>
      </c>
      <c r="F15" s="18">
        <f>D9</f>
        <v>0</v>
      </c>
    </row>
    <row r="17" spans="2:6" x14ac:dyDescent="0.25">
      <c r="B17" s="9" t="s">
        <v>16</v>
      </c>
      <c r="C17" s="10"/>
      <c r="D17" s="9"/>
      <c r="E17" s="9"/>
      <c r="F17" s="9"/>
    </row>
    <row r="18" spans="2:6" x14ac:dyDescent="0.25">
      <c r="B18" s="7" t="s">
        <v>54</v>
      </c>
      <c r="C18" s="8"/>
      <c r="D18" s="7"/>
      <c r="E18" s="7"/>
      <c r="F18" s="7"/>
    </row>
  </sheetData>
  <mergeCells count="12">
    <mergeCell ref="P5:P6"/>
    <mergeCell ref="B10:B15"/>
    <mergeCell ref="H4:P4"/>
    <mergeCell ref="H5:H6"/>
    <mergeCell ref="I5:I6"/>
    <mergeCell ref="J5:J6"/>
    <mergeCell ref="K5:K6"/>
    <mergeCell ref="L5:L6"/>
    <mergeCell ref="M5:M6"/>
    <mergeCell ref="N5:N6"/>
    <mergeCell ref="O5:O6"/>
    <mergeCell ref="B5:B8"/>
  </mergeCells>
  <conditionalFormatting sqref="D14">
    <cfRule type="cellIs" dxfId="15" priority="4" operator="greaterThan">
      <formula>$F$14+5</formula>
    </cfRule>
  </conditionalFormatting>
  <conditionalFormatting sqref="D15">
    <cfRule type="cellIs" dxfId="14" priority="3" operator="lessThan">
      <formula>$P$7</formula>
    </cfRule>
  </conditionalFormatting>
  <conditionalFormatting sqref="D10">
    <cfRule type="cellIs" dxfId="13" priority="1" operator="between">
      <formula>$F$10-1</formula>
      <formula>$F$10+1</formula>
    </cfRule>
    <cfRule type="cellIs" dxfId="12" priority="2" operator="between">
      <formula>$F$10-5</formula>
      <formula>$F$10+5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5978-342D-46F9-8929-5FD8BF6F7654}">
  <sheetPr>
    <tabColor rgb="FFFFC000"/>
  </sheetPr>
  <dimension ref="B1:P18"/>
  <sheetViews>
    <sheetView zoomScale="90" zoomScaleNormal="90" workbookViewId="0">
      <selection activeCell="H14" sqref="H14"/>
    </sheetView>
  </sheetViews>
  <sheetFormatPr defaultRowHeight="15" x14ac:dyDescent="0.25"/>
  <cols>
    <col min="1" max="1" width="3.7109375" customWidth="1"/>
    <col min="3" max="3" width="22.28515625" style="3" bestFit="1" customWidth="1"/>
    <col min="6" max="6" width="14" customWidth="1"/>
    <col min="7" max="7" width="5.28515625" customWidth="1"/>
    <col min="8" max="8" width="15.85546875" customWidth="1"/>
    <col min="9" max="9" width="10" bestFit="1" customWidth="1"/>
    <col min="10" max="10" width="12.85546875" customWidth="1"/>
    <col min="11" max="11" width="12.140625" customWidth="1"/>
    <col min="12" max="12" width="13.85546875" customWidth="1"/>
    <col min="13" max="13" width="9.7109375" customWidth="1"/>
    <col min="14" max="14" width="19.140625" customWidth="1"/>
    <col min="16" max="16" width="11.42578125" customWidth="1"/>
  </cols>
  <sheetData>
    <row r="1" spans="2:16" ht="15.75" thickBot="1" x14ac:dyDescent="0.3"/>
    <row r="2" spans="2:16" x14ac:dyDescent="0.25">
      <c r="B2" s="12" t="s">
        <v>0</v>
      </c>
      <c r="C2" s="13" t="s">
        <v>57</v>
      </c>
    </row>
    <row r="3" spans="2:16" ht="15.75" thickBot="1" x14ac:dyDescent="0.3">
      <c r="B3" s="14" t="s">
        <v>12</v>
      </c>
      <c r="C3" s="11" t="s">
        <v>17</v>
      </c>
    </row>
    <row r="4" spans="2:16" ht="14.25" customHeight="1" thickBot="1" x14ac:dyDescent="0.3">
      <c r="F4" s="6" t="s">
        <v>15</v>
      </c>
      <c r="H4" s="31" t="s">
        <v>46</v>
      </c>
      <c r="I4" s="32"/>
      <c r="J4" s="32"/>
      <c r="K4" s="32"/>
      <c r="L4" s="32"/>
      <c r="M4" s="32"/>
      <c r="N4" s="32"/>
      <c r="O4" s="32"/>
      <c r="P4" s="33"/>
    </row>
    <row r="5" spans="2:16" ht="15" customHeight="1" x14ac:dyDescent="0.25">
      <c r="B5" s="28" t="s">
        <v>11</v>
      </c>
      <c r="C5" s="3" t="s">
        <v>55</v>
      </c>
      <c r="D5">
        <f>(1400*0.56-110)/2</f>
        <v>337.00000000000006</v>
      </c>
      <c r="E5" t="s">
        <v>5</v>
      </c>
      <c r="F5" s="22"/>
      <c r="H5" s="34" t="s">
        <v>42</v>
      </c>
      <c r="I5" s="36" t="s">
        <v>47</v>
      </c>
      <c r="J5" s="36" t="s">
        <v>13</v>
      </c>
      <c r="K5" s="36" t="s">
        <v>48</v>
      </c>
      <c r="L5" s="36" t="s">
        <v>49</v>
      </c>
      <c r="M5" s="36" t="s">
        <v>50</v>
      </c>
      <c r="N5" s="36" t="s">
        <v>51</v>
      </c>
      <c r="O5" s="36" t="s">
        <v>52</v>
      </c>
      <c r="P5" s="26" t="s">
        <v>43</v>
      </c>
    </row>
    <row r="6" spans="2:16" ht="15.75" thickBot="1" x14ac:dyDescent="0.3">
      <c r="B6" s="29"/>
      <c r="C6" s="3" t="s">
        <v>1</v>
      </c>
      <c r="D6">
        <v>290</v>
      </c>
      <c r="E6" t="s">
        <v>3</v>
      </c>
      <c r="F6" s="5"/>
      <c r="H6" s="35"/>
      <c r="I6" s="37"/>
      <c r="J6" s="37"/>
      <c r="K6" s="37"/>
      <c r="L6" s="37"/>
      <c r="M6" s="37"/>
      <c r="N6" s="37"/>
      <c r="O6" s="37"/>
      <c r="P6" s="27"/>
    </row>
    <row r="7" spans="2:16" x14ac:dyDescent="0.25">
      <c r="B7" s="29"/>
      <c r="C7" s="3" t="s">
        <v>2</v>
      </c>
      <c r="D7" s="1">
        <v>1.58</v>
      </c>
      <c r="E7" t="s">
        <v>4</v>
      </c>
      <c r="F7" s="5"/>
      <c r="H7" t="s">
        <v>58</v>
      </c>
      <c r="I7">
        <v>140</v>
      </c>
      <c r="J7">
        <v>61.75</v>
      </c>
      <c r="K7">
        <v>300</v>
      </c>
      <c r="L7" s="1">
        <v>72</v>
      </c>
      <c r="M7" s="1">
        <v>68</v>
      </c>
      <c r="N7">
        <v>20400</v>
      </c>
      <c r="O7" s="1">
        <v>1.5</v>
      </c>
      <c r="P7" s="21">
        <f t="shared" ref="P7" si="0">0.5*K7*1000*(M7/1000)^2</f>
        <v>693.6</v>
      </c>
    </row>
    <row r="8" spans="2:16" ht="15.75" thickBot="1" x14ac:dyDescent="0.3">
      <c r="B8" s="30"/>
      <c r="C8" s="3" t="s">
        <v>59</v>
      </c>
      <c r="D8">
        <v>70</v>
      </c>
      <c r="E8" t="s">
        <v>7</v>
      </c>
      <c r="F8" s="5"/>
    </row>
    <row r="9" spans="2:16" ht="15.75" thickBot="1" x14ac:dyDescent="0.3">
      <c r="F9" s="5"/>
      <c r="J9" s="4"/>
    </row>
    <row r="10" spans="2:16" ht="15" customHeight="1" x14ac:dyDescent="0.25">
      <c r="B10" s="28" t="s">
        <v>14</v>
      </c>
      <c r="C10" s="3" t="s">
        <v>18</v>
      </c>
      <c r="D10" s="20">
        <f>K7/D7^2</f>
        <v>120.17304919083479</v>
      </c>
      <c r="E10" t="s">
        <v>3</v>
      </c>
      <c r="F10" s="16">
        <f>D6/D7^2</f>
        <v>116.16728088447363</v>
      </c>
    </row>
    <row r="11" spans="2:16" x14ac:dyDescent="0.25">
      <c r="B11" s="29"/>
      <c r="C11" s="3" t="s">
        <v>10</v>
      </c>
      <c r="D11" s="19">
        <f>D5*9.81/D10</f>
        <v>27.510078360000009</v>
      </c>
      <c r="E11" t="s">
        <v>7</v>
      </c>
      <c r="F11" s="5"/>
    </row>
    <row r="12" spans="2:16" x14ac:dyDescent="0.25">
      <c r="B12" s="29"/>
      <c r="C12" s="3" t="s">
        <v>6</v>
      </c>
      <c r="D12" s="19">
        <f>D11/D7</f>
        <v>17.411442000000005</v>
      </c>
      <c r="E12" t="s">
        <v>7</v>
      </c>
      <c r="F12" s="5"/>
    </row>
    <row r="13" spans="2:16" x14ac:dyDescent="0.25">
      <c r="B13" s="29"/>
      <c r="C13" s="3" t="s">
        <v>8</v>
      </c>
      <c r="D13" s="19">
        <f>M7-D12</f>
        <v>50.588557999999992</v>
      </c>
      <c r="E13" t="s">
        <v>7</v>
      </c>
      <c r="F13" s="17">
        <f>F14/D7</f>
        <v>44.303797468354425</v>
      </c>
      <c r="H13" s="2">
        <f>F13+D12</f>
        <v>61.715239468354426</v>
      </c>
    </row>
    <row r="14" spans="2:16" x14ac:dyDescent="0.25">
      <c r="B14" s="29"/>
      <c r="C14" s="3" t="s">
        <v>9</v>
      </c>
      <c r="D14" s="20">
        <f>D13*D7</f>
        <v>79.929921639999989</v>
      </c>
      <c r="E14" t="s">
        <v>7</v>
      </c>
      <c r="F14" s="16">
        <f>D8</f>
        <v>70</v>
      </c>
    </row>
    <row r="15" spans="2:16" ht="15.75" thickBot="1" x14ac:dyDescent="0.3">
      <c r="B15" s="30"/>
      <c r="C15" s="3" t="s">
        <v>44</v>
      </c>
      <c r="D15" s="20">
        <f>0.5*((F14+D11)/1000)^2*F10*1000</f>
        <v>552.27176348226817</v>
      </c>
      <c r="E15" t="s">
        <v>45</v>
      </c>
      <c r="F15" s="18">
        <f>D9</f>
        <v>0</v>
      </c>
    </row>
    <row r="17" spans="2:6" x14ac:dyDescent="0.25">
      <c r="B17" s="9" t="s">
        <v>16</v>
      </c>
      <c r="C17" s="10"/>
      <c r="D17" s="9"/>
      <c r="E17" s="9"/>
      <c r="F17" s="9"/>
    </row>
    <row r="18" spans="2:6" x14ac:dyDescent="0.25">
      <c r="B18" s="7" t="s">
        <v>54</v>
      </c>
      <c r="C18" s="8"/>
      <c r="D18" s="7"/>
      <c r="E18" s="7"/>
      <c r="F18" s="7"/>
    </row>
  </sheetData>
  <mergeCells count="12">
    <mergeCell ref="B5:B8"/>
    <mergeCell ref="B10:B15"/>
    <mergeCell ref="H4:P4"/>
    <mergeCell ref="H5:H6"/>
    <mergeCell ref="I5:I6"/>
    <mergeCell ref="P5:P6"/>
    <mergeCell ref="J5:J6"/>
    <mergeCell ref="K5:K6"/>
    <mergeCell ref="L5:L6"/>
    <mergeCell ref="M5:M6"/>
    <mergeCell ref="N5:N6"/>
    <mergeCell ref="O5:O6"/>
  </mergeCells>
  <conditionalFormatting sqref="D14">
    <cfRule type="cellIs" dxfId="11" priority="5" operator="greaterThan">
      <formula>$F$14+5</formula>
    </cfRule>
  </conditionalFormatting>
  <conditionalFormatting sqref="D15">
    <cfRule type="cellIs" dxfId="10" priority="3" operator="lessThan">
      <formula>$P$7</formula>
    </cfRule>
  </conditionalFormatting>
  <conditionalFormatting sqref="D10">
    <cfRule type="cellIs" dxfId="9" priority="1" operator="between">
      <formula>$F$10-1</formula>
      <formula>$F$10+1</formula>
    </cfRule>
    <cfRule type="cellIs" dxfId="8" priority="2" operator="between">
      <formula>$F$10-5</formula>
      <formula>$F$10+5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0AA1-5DDC-4220-A275-947B14BEB37B}">
  <sheetPr>
    <tabColor rgb="FFFFC000"/>
  </sheetPr>
  <dimension ref="B1:P18"/>
  <sheetViews>
    <sheetView zoomScale="90" zoomScaleNormal="90" workbookViewId="0">
      <selection activeCell="H14" sqref="H14"/>
    </sheetView>
  </sheetViews>
  <sheetFormatPr defaultRowHeight="15" x14ac:dyDescent="0.25"/>
  <cols>
    <col min="1" max="1" width="3.7109375" customWidth="1"/>
    <col min="3" max="3" width="22.28515625" style="3" bestFit="1" customWidth="1"/>
    <col min="6" max="6" width="14" customWidth="1"/>
    <col min="7" max="7" width="5.28515625" customWidth="1"/>
    <col min="8" max="8" width="15.85546875" customWidth="1"/>
    <col min="9" max="9" width="10" bestFit="1" customWidth="1"/>
    <col min="10" max="10" width="12.85546875" customWidth="1"/>
    <col min="11" max="11" width="12.140625" customWidth="1"/>
    <col min="12" max="12" width="13.85546875" customWidth="1"/>
    <col min="13" max="13" width="9.7109375" customWidth="1"/>
    <col min="14" max="14" width="19.140625" customWidth="1"/>
    <col min="16" max="16" width="11.42578125" customWidth="1"/>
  </cols>
  <sheetData>
    <row r="1" spans="2:16" ht="15.75" thickBot="1" x14ac:dyDescent="0.3"/>
    <row r="2" spans="2:16" x14ac:dyDescent="0.25">
      <c r="B2" s="12" t="s">
        <v>0</v>
      </c>
      <c r="C2" s="13" t="s">
        <v>57</v>
      </c>
    </row>
    <row r="3" spans="2:16" ht="15.75" thickBot="1" x14ac:dyDescent="0.3">
      <c r="B3" s="14" t="s">
        <v>12</v>
      </c>
      <c r="C3" s="11" t="s">
        <v>62</v>
      </c>
    </row>
    <row r="4" spans="2:16" ht="14.25" customHeight="1" thickBot="1" x14ac:dyDescent="0.3">
      <c r="F4" s="6" t="s">
        <v>15</v>
      </c>
      <c r="H4" s="31" t="s">
        <v>46</v>
      </c>
      <c r="I4" s="32"/>
      <c r="J4" s="32"/>
      <c r="K4" s="32"/>
      <c r="L4" s="32"/>
      <c r="M4" s="32"/>
      <c r="N4" s="32"/>
      <c r="O4" s="32"/>
      <c r="P4" s="33"/>
    </row>
    <row r="5" spans="2:16" ht="15" customHeight="1" x14ac:dyDescent="0.25">
      <c r="B5" s="28" t="s">
        <v>11</v>
      </c>
      <c r="C5" s="3" t="s">
        <v>55</v>
      </c>
      <c r="D5">
        <f>(1300*0.44-110)/2</f>
        <v>231</v>
      </c>
      <c r="E5" t="s">
        <v>5</v>
      </c>
      <c r="F5" s="22"/>
      <c r="H5" s="34" t="s">
        <v>42</v>
      </c>
      <c r="I5" s="36" t="s">
        <v>47</v>
      </c>
      <c r="J5" s="36" t="s">
        <v>13</v>
      </c>
      <c r="K5" s="36" t="s">
        <v>48</v>
      </c>
      <c r="L5" s="36" t="s">
        <v>49</v>
      </c>
      <c r="M5" s="36" t="s">
        <v>50</v>
      </c>
      <c r="N5" s="36" t="s">
        <v>51</v>
      </c>
      <c r="O5" s="36" t="s">
        <v>52</v>
      </c>
      <c r="P5" s="26" t="s">
        <v>43</v>
      </c>
    </row>
    <row r="6" spans="2:16" ht="15.75" thickBot="1" x14ac:dyDescent="0.3">
      <c r="B6" s="29"/>
      <c r="C6" s="3" t="s">
        <v>1</v>
      </c>
      <c r="D6">
        <v>240</v>
      </c>
      <c r="E6" t="s">
        <v>3</v>
      </c>
      <c r="F6" s="5"/>
      <c r="H6" s="35"/>
      <c r="I6" s="37"/>
      <c r="J6" s="37"/>
      <c r="K6" s="37"/>
      <c r="L6" s="37"/>
      <c r="M6" s="37"/>
      <c r="N6" s="37"/>
      <c r="O6" s="37"/>
      <c r="P6" s="27"/>
    </row>
    <row r="7" spans="2:16" x14ac:dyDescent="0.25">
      <c r="B7" s="29"/>
      <c r="C7" s="3" t="s">
        <v>2</v>
      </c>
      <c r="D7" s="1">
        <v>1.47</v>
      </c>
      <c r="E7" t="s">
        <v>4</v>
      </c>
      <c r="F7" s="5"/>
      <c r="H7" t="s">
        <v>60</v>
      </c>
      <c r="I7">
        <v>140</v>
      </c>
      <c r="J7">
        <v>61.75</v>
      </c>
      <c r="K7">
        <v>240</v>
      </c>
      <c r="L7" s="1">
        <v>71.25</v>
      </c>
      <c r="M7" s="1">
        <v>68.75</v>
      </c>
      <c r="N7">
        <v>16500</v>
      </c>
      <c r="O7" s="1">
        <v>1.43</v>
      </c>
      <c r="P7" s="21">
        <v>535.51560799999993</v>
      </c>
    </row>
    <row r="8" spans="2:16" ht="15.75" thickBot="1" x14ac:dyDescent="0.3">
      <c r="B8" s="30"/>
      <c r="C8" s="3" t="s">
        <v>59</v>
      </c>
      <c r="D8">
        <v>60</v>
      </c>
      <c r="E8" t="s">
        <v>7</v>
      </c>
      <c r="F8" s="5"/>
    </row>
    <row r="9" spans="2:16" ht="15.75" thickBot="1" x14ac:dyDescent="0.3">
      <c r="F9" s="5"/>
      <c r="J9" s="4"/>
    </row>
    <row r="10" spans="2:16" ht="15" customHeight="1" x14ac:dyDescent="0.25">
      <c r="B10" s="28" t="s">
        <v>14</v>
      </c>
      <c r="C10" s="3" t="s">
        <v>18</v>
      </c>
      <c r="D10" s="20">
        <f>K7/D7^2</f>
        <v>111.06483409690408</v>
      </c>
      <c r="E10" t="s">
        <v>3</v>
      </c>
      <c r="F10" s="16">
        <f>D6/D7^2</f>
        <v>111.06483409690408</v>
      </c>
    </row>
    <row r="11" spans="2:16" x14ac:dyDescent="0.25">
      <c r="B11" s="29"/>
      <c r="C11" s="3" t="s">
        <v>10</v>
      </c>
      <c r="D11" s="19">
        <f>D5*9.81/D10</f>
        <v>20.403487912499997</v>
      </c>
      <c r="E11" t="s">
        <v>7</v>
      </c>
      <c r="F11" s="5"/>
    </row>
    <row r="12" spans="2:16" x14ac:dyDescent="0.25">
      <c r="B12" s="29"/>
      <c r="C12" s="3" t="s">
        <v>6</v>
      </c>
      <c r="D12" s="19">
        <f>D11/D7</f>
        <v>13.879923749999998</v>
      </c>
      <c r="E12" t="s">
        <v>7</v>
      </c>
      <c r="F12" s="5"/>
    </row>
    <row r="13" spans="2:16" x14ac:dyDescent="0.25">
      <c r="B13" s="29"/>
      <c r="C13" s="3" t="s">
        <v>8</v>
      </c>
      <c r="D13" s="19">
        <f>M7-D12</f>
        <v>54.870076250000004</v>
      </c>
      <c r="E13" t="s">
        <v>7</v>
      </c>
      <c r="F13" s="17">
        <f>F14/D7</f>
        <v>40.816326530612244</v>
      </c>
      <c r="H13" s="23">
        <f>F13+D12</f>
        <v>54.69625028061224</v>
      </c>
    </row>
    <row r="14" spans="2:16" x14ac:dyDescent="0.25">
      <c r="B14" s="29"/>
      <c r="C14" s="3" t="s">
        <v>9</v>
      </c>
      <c r="D14" s="20">
        <f>D13*D7</f>
        <v>80.659012087500003</v>
      </c>
      <c r="E14" t="s">
        <v>7</v>
      </c>
      <c r="F14" s="16">
        <f>D8</f>
        <v>60</v>
      </c>
    </row>
    <row r="15" spans="2:16" ht="15.75" thickBot="1" x14ac:dyDescent="0.3">
      <c r="B15" s="30"/>
      <c r="C15" s="3" t="s">
        <v>44</v>
      </c>
      <c r="D15" s="20">
        <f>0.5*((F14+D11)/1000)^2*F10*1000</f>
        <v>359.00157537112506</v>
      </c>
      <c r="E15" t="s">
        <v>45</v>
      </c>
      <c r="F15" s="18">
        <f>D9</f>
        <v>0</v>
      </c>
    </row>
    <row r="17" spans="2:6" x14ac:dyDescent="0.25">
      <c r="B17" s="9" t="s">
        <v>16</v>
      </c>
      <c r="C17" s="10"/>
      <c r="D17" s="9"/>
      <c r="E17" s="9"/>
      <c r="F17" s="9"/>
    </row>
    <row r="18" spans="2:6" x14ac:dyDescent="0.25">
      <c r="B18" s="7" t="s">
        <v>54</v>
      </c>
      <c r="C18" s="8"/>
      <c r="D18" s="7"/>
      <c r="E18" s="7"/>
      <c r="F18" s="7"/>
    </row>
  </sheetData>
  <mergeCells count="12">
    <mergeCell ref="P5:P6"/>
    <mergeCell ref="B10:B15"/>
    <mergeCell ref="H4:P4"/>
    <mergeCell ref="B5:B8"/>
    <mergeCell ref="H5:H6"/>
    <mergeCell ref="I5:I6"/>
    <mergeCell ref="J5:J6"/>
    <mergeCell ref="K5:K6"/>
    <mergeCell ref="L5:L6"/>
    <mergeCell ref="M5:M6"/>
    <mergeCell ref="N5:N6"/>
    <mergeCell ref="O5:O6"/>
  </mergeCells>
  <conditionalFormatting sqref="D14">
    <cfRule type="cellIs" dxfId="7" priority="4" operator="greaterThan">
      <formula>$F$14+5</formula>
    </cfRule>
  </conditionalFormatting>
  <conditionalFormatting sqref="D15">
    <cfRule type="cellIs" dxfId="6" priority="3" operator="lessThan">
      <formula>$P$7</formula>
    </cfRule>
  </conditionalFormatting>
  <conditionalFormatting sqref="D10">
    <cfRule type="cellIs" dxfId="5" priority="1" operator="between">
      <formula>$F$10-1</formula>
      <formula>$F$10+1</formula>
    </cfRule>
    <cfRule type="cellIs" dxfId="4" priority="2" operator="between">
      <formula>$F$10-5</formula>
      <formula>$F$10+5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DA0B-1DB2-4754-AB7A-1C28D196BF6B}">
  <sheetPr>
    <tabColor rgb="FFFFC000"/>
  </sheetPr>
  <dimension ref="B1:P18"/>
  <sheetViews>
    <sheetView zoomScale="90" zoomScaleNormal="90" workbookViewId="0">
      <selection activeCell="H14" sqref="H14"/>
    </sheetView>
  </sheetViews>
  <sheetFormatPr defaultRowHeight="15" x14ac:dyDescent="0.25"/>
  <cols>
    <col min="1" max="1" width="3.7109375" customWidth="1"/>
    <col min="3" max="3" width="22.28515625" style="3" bestFit="1" customWidth="1"/>
    <col min="6" max="6" width="14" customWidth="1"/>
    <col min="7" max="7" width="5.28515625" customWidth="1"/>
    <col min="8" max="8" width="15.85546875" customWidth="1"/>
    <col min="9" max="9" width="10" bestFit="1" customWidth="1"/>
    <col min="10" max="10" width="12.85546875" customWidth="1"/>
    <col min="11" max="11" width="12.140625" customWidth="1"/>
    <col min="12" max="12" width="13.85546875" customWidth="1"/>
    <col min="13" max="13" width="9.7109375" customWidth="1"/>
    <col min="14" max="14" width="19.140625" customWidth="1"/>
    <col min="16" max="16" width="11.42578125" customWidth="1"/>
  </cols>
  <sheetData>
    <row r="1" spans="2:16" ht="15.75" thickBot="1" x14ac:dyDescent="0.3"/>
    <row r="2" spans="2:16" x14ac:dyDescent="0.25">
      <c r="B2" s="12" t="s">
        <v>0</v>
      </c>
      <c r="C2" s="13" t="s">
        <v>57</v>
      </c>
    </row>
    <row r="3" spans="2:16" ht="15.75" thickBot="1" x14ac:dyDescent="0.3">
      <c r="B3" s="14" t="s">
        <v>12</v>
      </c>
      <c r="C3" s="11" t="s">
        <v>17</v>
      </c>
    </row>
    <row r="4" spans="2:16" ht="14.25" customHeight="1" thickBot="1" x14ac:dyDescent="0.3">
      <c r="F4" s="6" t="s">
        <v>15</v>
      </c>
      <c r="H4" s="31" t="s">
        <v>46</v>
      </c>
      <c r="I4" s="32"/>
      <c r="J4" s="32"/>
      <c r="K4" s="32"/>
      <c r="L4" s="32"/>
      <c r="M4" s="32"/>
      <c r="N4" s="32"/>
      <c r="O4" s="32"/>
      <c r="P4" s="33"/>
    </row>
    <row r="5" spans="2:16" ht="15" customHeight="1" x14ac:dyDescent="0.25">
      <c r="B5" s="28" t="s">
        <v>11</v>
      </c>
      <c r="C5" s="3" t="s">
        <v>55</v>
      </c>
      <c r="D5">
        <f>(1400*0.56-110)/2</f>
        <v>337.00000000000006</v>
      </c>
      <c r="E5" t="s">
        <v>5</v>
      </c>
      <c r="F5" s="22"/>
      <c r="H5" s="34" t="s">
        <v>42</v>
      </c>
      <c r="I5" s="36" t="s">
        <v>47</v>
      </c>
      <c r="J5" s="36" t="s">
        <v>13</v>
      </c>
      <c r="K5" s="36" t="s">
        <v>48</v>
      </c>
      <c r="L5" s="36" t="s">
        <v>49</v>
      </c>
      <c r="M5" s="36" t="s">
        <v>50</v>
      </c>
      <c r="N5" s="36" t="s">
        <v>51</v>
      </c>
      <c r="O5" s="36" t="s">
        <v>52</v>
      </c>
      <c r="P5" s="26" t="s">
        <v>43</v>
      </c>
    </row>
    <row r="6" spans="2:16" ht="15.75" thickBot="1" x14ac:dyDescent="0.3">
      <c r="B6" s="29"/>
      <c r="C6" s="3" t="s">
        <v>1</v>
      </c>
      <c r="D6">
        <v>400</v>
      </c>
      <c r="E6" t="s">
        <v>3</v>
      </c>
      <c r="F6" s="5"/>
      <c r="H6" s="35"/>
      <c r="I6" s="37"/>
      <c r="J6" s="37"/>
      <c r="K6" s="37"/>
      <c r="L6" s="37"/>
      <c r="M6" s="37"/>
      <c r="N6" s="37"/>
      <c r="O6" s="37"/>
      <c r="P6" s="27"/>
    </row>
    <row r="7" spans="2:16" x14ac:dyDescent="0.25">
      <c r="B7" s="29"/>
      <c r="C7" s="3" t="s">
        <v>2</v>
      </c>
      <c r="D7" s="1">
        <v>1.58</v>
      </c>
      <c r="E7" t="s">
        <v>4</v>
      </c>
      <c r="F7" s="5"/>
      <c r="H7" t="s">
        <v>61</v>
      </c>
      <c r="I7">
        <v>140</v>
      </c>
      <c r="J7">
        <v>61.75</v>
      </c>
      <c r="K7">
        <v>400</v>
      </c>
      <c r="L7" s="1">
        <v>77.19</v>
      </c>
      <c r="M7" s="1">
        <v>62.81</v>
      </c>
      <c r="N7">
        <v>25125</v>
      </c>
      <c r="O7" s="1">
        <v>1.5</v>
      </c>
      <c r="P7" s="21">
        <f t="shared" ref="P7" si="0">0.5*K7*1000*(M7/1000)^2</f>
        <v>789.01922000000013</v>
      </c>
    </row>
    <row r="8" spans="2:16" ht="15.75" thickBot="1" x14ac:dyDescent="0.3">
      <c r="B8" s="30"/>
      <c r="C8" s="3" t="s">
        <v>59</v>
      </c>
      <c r="D8">
        <v>70</v>
      </c>
      <c r="E8" t="s">
        <v>7</v>
      </c>
      <c r="F8" s="5"/>
    </row>
    <row r="9" spans="2:16" ht="15.75" thickBot="1" x14ac:dyDescent="0.3">
      <c r="F9" s="5"/>
      <c r="J9" s="4"/>
    </row>
    <row r="10" spans="2:16" ht="15" customHeight="1" x14ac:dyDescent="0.25">
      <c r="B10" s="28" t="s">
        <v>14</v>
      </c>
      <c r="C10" s="3" t="s">
        <v>18</v>
      </c>
      <c r="D10" s="20">
        <f>K7/D7^2</f>
        <v>160.23073225444637</v>
      </c>
      <c r="E10" t="s">
        <v>3</v>
      </c>
      <c r="F10" s="16">
        <f>D6/D7^2</f>
        <v>160.23073225444637</v>
      </c>
    </row>
    <row r="11" spans="2:16" x14ac:dyDescent="0.25">
      <c r="B11" s="29"/>
      <c r="C11" s="3" t="s">
        <v>10</v>
      </c>
      <c r="D11" s="19">
        <f>D5*9.81/D10</f>
        <v>20.63255877000001</v>
      </c>
      <c r="E11" t="s">
        <v>7</v>
      </c>
      <c r="F11" s="5"/>
    </row>
    <row r="12" spans="2:16" x14ac:dyDescent="0.25">
      <c r="B12" s="29"/>
      <c r="C12" s="3" t="s">
        <v>6</v>
      </c>
      <c r="D12" s="19">
        <f>D11/D7</f>
        <v>13.058581500000006</v>
      </c>
      <c r="E12" t="s">
        <v>7</v>
      </c>
      <c r="F12" s="5"/>
    </row>
    <row r="13" spans="2:16" x14ac:dyDescent="0.25">
      <c r="B13" s="29"/>
      <c r="C13" s="3" t="s">
        <v>8</v>
      </c>
      <c r="D13" s="19">
        <f>M7-D12</f>
        <v>49.7514185</v>
      </c>
      <c r="E13" t="s">
        <v>7</v>
      </c>
      <c r="F13" s="17">
        <f>F14/D7</f>
        <v>44.303797468354425</v>
      </c>
      <c r="H13" s="23">
        <f>F13+D12</f>
        <v>57.362378968354435</v>
      </c>
    </row>
    <row r="14" spans="2:16" x14ac:dyDescent="0.25">
      <c r="B14" s="29"/>
      <c r="C14" s="3" t="s">
        <v>9</v>
      </c>
      <c r="D14" s="20">
        <f>D13*D7</f>
        <v>78.60724123</v>
      </c>
      <c r="E14" t="s">
        <v>7</v>
      </c>
      <c r="F14" s="16">
        <f>D8</f>
        <v>70</v>
      </c>
    </row>
    <row r="15" spans="2:16" ht="15.75" thickBot="1" x14ac:dyDescent="0.3">
      <c r="B15" s="30"/>
      <c r="C15" s="3" t="s">
        <v>44</v>
      </c>
      <c r="D15" s="20">
        <f>0.5*((F14+D11)/1000)^2*F10*1000</f>
        <v>658.08850418182192</v>
      </c>
      <c r="E15" t="s">
        <v>45</v>
      </c>
      <c r="F15" s="18">
        <f>D9</f>
        <v>0</v>
      </c>
    </row>
    <row r="17" spans="2:6" x14ac:dyDescent="0.25">
      <c r="B17" s="9" t="s">
        <v>16</v>
      </c>
      <c r="C17" s="10"/>
      <c r="D17" s="9"/>
      <c r="E17" s="9"/>
      <c r="F17" s="9"/>
    </row>
    <row r="18" spans="2:6" x14ac:dyDescent="0.25">
      <c r="B18" s="7" t="s">
        <v>54</v>
      </c>
      <c r="C18" s="8"/>
      <c r="D18" s="7"/>
      <c r="E18" s="7"/>
      <c r="F18" s="7"/>
    </row>
  </sheetData>
  <mergeCells count="12">
    <mergeCell ref="P5:P6"/>
    <mergeCell ref="B10:B15"/>
    <mergeCell ref="H4:P4"/>
    <mergeCell ref="B5:B8"/>
    <mergeCell ref="H5:H6"/>
    <mergeCell ref="I5:I6"/>
    <mergeCell ref="J5:J6"/>
    <mergeCell ref="K5:K6"/>
    <mergeCell ref="L5:L6"/>
    <mergeCell ref="M5:M6"/>
    <mergeCell ref="N5:N6"/>
    <mergeCell ref="O5:O6"/>
  </mergeCells>
  <conditionalFormatting sqref="D14">
    <cfRule type="cellIs" dxfId="3" priority="4" operator="greaterThan">
      <formula>$F$14+5</formula>
    </cfRule>
  </conditionalFormatting>
  <conditionalFormatting sqref="D15">
    <cfRule type="cellIs" dxfId="2" priority="3" operator="lessThan">
      <formula>$P$7</formula>
    </cfRule>
  </conditionalFormatting>
  <conditionalFormatting sqref="D10">
    <cfRule type="cellIs" dxfId="1" priority="1" operator="between">
      <formula>$F$10-1</formula>
      <formula>$F$10+1</formula>
    </cfRule>
    <cfRule type="cellIs" dxfId="0" priority="2" operator="between">
      <formula>$F$10-5</formula>
      <formula>$F$10+5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082F-E07A-48D5-8418-7DC02A86B311}">
  <sheetPr>
    <tabColor rgb="FF00B0F0"/>
  </sheetPr>
  <dimension ref="A1"/>
  <sheetViews>
    <sheetView tabSelected="1" workbookViewId="0">
      <selection activeCell="H21" sqref="H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B0F3-412F-4819-9702-1FE08427733B}">
  <sheetPr>
    <tabColor rgb="FFFF0000"/>
  </sheetPr>
  <dimension ref="B1:J28"/>
  <sheetViews>
    <sheetView zoomScale="115" zoomScaleNormal="115" workbookViewId="0"/>
  </sheetViews>
  <sheetFormatPr defaultRowHeight="15" x14ac:dyDescent="0.25"/>
  <cols>
    <col min="1" max="1" width="3.7109375" customWidth="1"/>
    <col min="2" max="2" width="15.140625" bestFit="1" customWidth="1"/>
    <col min="4" max="4" width="16" customWidth="1"/>
    <col min="6" max="6" width="12.85546875" customWidth="1"/>
    <col min="8" max="8" width="18.85546875" bestFit="1" customWidth="1"/>
    <col min="10" max="10" width="14.85546875" customWidth="1"/>
  </cols>
  <sheetData>
    <row r="1" spans="2:10" ht="15.75" thickBot="1" x14ac:dyDescent="0.3"/>
    <row r="2" spans="2:10" ht="15.75" thickBot="1" x14ac:dyDescent="0.3">
      <c r="B2" s="31" t="s">
        <v>53</v>
      </c>
      <c r="C2" s="32"/>
      <c r="D2" s="32"/>
      <c r="E2" s="32"/>
      <c r="F2" s="32"/>
      <c r="G2" s="32"/>
      <c r="H2" s="32"/>
      <c r="I2" s="32"/>
      <c r="J2" s="33"/>
    </row>
    <row r="3" spans="2:10" x14ac:dyDescent="0.25">
      <c r="B3" s="34" t="s">
        <v>42</v>
      </c>
      <c r="C3" s="36" t="s">
        <v>47</v>
      </c>
      <c r="D3" s="36" t="s">
        <v>13</v>
      </c>
      <c r="E3" s="36" t="s">
        <v>48</v>
      </c>
      <c r="F3" s="36" t="s">
        <v>49</v>
      </c>
      <c r="G3" s="36" t="s">
        <v>50</v>
      </c>
      <c r="H3" s="36" t="s">
        <v>51</v>
      </c>
      <c r="I3" s="36" t="s">
        <v>52</v>
      </c>
      <c r="J3" s="26" t="s">
        <v>43</v>
      </c>
    </row>
    <row r="4" spans="2:10" ht="15.75" thickBot="1" x14ac:dyDescent="0.3">
      <c r="B4" s="35"/>
      <c r="C4" s="37"/>
      <c r="D4" s="37"/>
      <c r="E4" s="37"/>
      <c r="F4" s="37"/>
      <c r="G4" s="37"/>
      <c r="H4" s="37"/>
      <c r="I4" s="37"/>
      <c r="J4" s="27"/>
    </row>
    <row r="5" spans="2:10" x14ac:dyDescent="0.25">
      <c r="B5" t="s">
        <v>19</v>
      </c>
      <c r="C5">
        <v>170</v>
      </c>
      <c r="D5">
        <v>61.75</v>
      </c>
      <c r="E5">
        <v>30</v>
      </c>
      <c r="F5">
        <v>45.79</v>
      </c>
      <c r="G5" s="2">
        <v>124.21</v>
      </c>
      <c r="H5">
        <v>3726</v>
      </c>
      <c r="I5">
        <v>0.49</v>
      </c>
      <c r="J5" s="4">
        <f>0.5*E5*1000*(G5/1000)^2</f>
        <v>231.42186149999995</v>
      </c>
    </row>
    <row r="6" spans="2:10" x14ac:dyDescent="0.25">
      <c r="B6" t="s">
        <v>20</v>
      </c>
      <c r="C6">
        <v>170</v>
      </c>
      <c r="D6">
        <v>61.75</v>
      </c>
      <c r="E6">
        <v>40</v>
      </c>
      <c r="F6">
        <v>51.3</v>
      </c>
      <c r="G6" s="2">
        <v>118.7</v>
      </c>
      <c r="H6">
        <v>4748</v>
      </c>
      <c r="I6">
        <v>0.61</v>
      </c>
      <c r="J6" s="4">
        <f t="shared" ref="J6:J27" si="0">0.5*E6*1000*(G6/1000)^2</f>
        <v>281.79379999999998</v>
      </c>
    </row>
    <row r="7" spans="2:10" x14ac:dyDescent="0.25">
      <c r="B7" t="s">
        <v>21</v>
      </c>
      <c r="C7">
        <v>170</v>
      </c>
      <c r="D7">
        <v>61.75</v>
      </c>
      <c r="E7">
        <v>50</v>
      </c>
      <c r="F7">
        <v>53.2</v>
      </c>
      <c r="G7" s="2">
        <v>116.8</v>
      </c>
      <c r="H7">
        <v>5840</v>
      </c>
      <c r="I7">
        <v>0.67</v>
      </c>
      <c r="J7" s="4">
        <f t="shared" si="0"/>
        <v>341.05599999999998</v>
      </c>
    </row>
    <row r="8" spans="2:10" x14ac:dyDescent="0.25">
      <c r="B8" t="s">
        <v>22</v>
      </c>
      <c r="C8">
        <v>170</v>
      </c>
      <c r="D8">
        <v>61.75</v>
      </c>
      <c r="E8">
        <v>60</v>
      </c>
      <c r="F8">
        <v>56</v>
      </c>
      <c r="G8" s="2">
        <v>114</v>
      </c>
      <c r="H8">
        <v>6840</v>
      </c>
      <c r="I8">
        <v>0.75</v>
      </c>
      <c r="J8" s="4">
        <f t="shared" si="0"/>
        <v>389.88</v>
      </c>
    </row>
    <row r="9" spans="2:10" x14ac:dyDescent="0.25">
      <c r="B9" t="s">
        <v>23</v>
      </c>
      <c r="C9">
        <v>170</v>
      </c>
      <c r="D9">
        <v>61.75</v>
      </c>
      <c r="E9">
        <v>70</v>
      </c>
      <c r="F9">
        <v>65.58</v>
      </c>
      <c r="G9" s="2">
        <v>104.43</v>
      </c>
      <c r="H9">
        <v>7310</v>
      </c>
      <c r="I9">
        <v>0.96</v>
      </c>
      <c r="J9" s="4">
        <f t="shared" si="0"/>
        <v>381.6968715000001</v>
      </c>
    </row>
    <row r="10" spans="2:10" x14ac:dyDescent="0.25">
      <c r="B10" t="s">
        <v>24</v>
      </c>
      <c r="C10">
        <v>170</v>
      </c>
      <c r="D10">
        <v>61.75</v>
      </c>
      <c r="E10">
        <v>80</v>
      </c>
      <c r="F10">
        <v>63.8</v>
      </c>
      <c r="G10" s="2">
        <v>106.2</v>
      </c>
      <c r="H10">
        <v>8496</v>
      </c>
      <c r="I10">
        <v>0.95</v>
      </c>
      <c r="J10" s="4">
        <f t="shared" si="0"/>
        <v>451.13760000000002</v>
      </c>
    </row>
    <row r="11" spans="2:10" x14ac:dyDescent="0.25">
      <c r="B11" t="s">
        <v>25</v>
      </c>
      <c r="C11">
        <v>170</v>
      </c>
      <c r="D11">
        <v>61.75</v>
      </c>
      <c r="E11">
        <v>90</v>
      </c>
      <c r="F11">
        <v>69</v>
      </c>
      <c r="G11" s="2">
        <v>101</v>
      </c>
      <c r="H11">
        <v>9090</v>
      </c>
      <c r="I11">
        <v>1.0900000000000001</v>
      </c>
      <c r="J11" s="4">
        <f t="shared" si="0"/>
        <v>459.04500000000007</v>
      </c>
    </row>
    <row r="12" spans="2:10" x14ac:dyDescent="0.25">
      <c r="B12" t="s">
        <v>26</v>
      </c>
      <c r="C12">
        <v>170</v>
      </c>
      <c r="D12">
        <v>61.75</v>
      </c>
      <c r="E12">
        <v>100</v>
      </c>
      <c r="F12">
        <v>68.739999999999995</v>
      </c>
      <c r="G12" s="2">
        <v>101.26</v>
      </c>
      <c r="H12">
        <v>10126</v>
      </c>
      <c r="I12">
        <v>1.1100000000000001</v>
      </c>
      <c r="J12" s="4">
        <f t="shared" si="0"/>
        <v>512.67938000000004</v>
      </c>
    </row>
    <row r="13" spans="2:10" x14ac:dyDescent="0.25">
      <c r="B13" t="s">
        <v>27</v>
      </c>
      <c r="C13">
        <v>170</v>
      </c>
      <c r="D13">
        <v>61.75</v>
      </c>
      <c r="E13">
        <v>110</v>
      </c>
      <c r="F13">
        <v>69</v>
      </c>
      <c r="G13" s="2">
        <v>101</v>
      </c>
      <c r="H13">
        <v>11110</v>
      </c>
      <c r="I13">
        <v>1.1399999999999999</v>
      </c>
      <c r="J13" s="4">
        <f t="shared" si="0"/>
        <v>561.05500000000006</v>
      </c>
    </row>
    <row r="14" spans="2:10" x14ac:dyDescent="0.25">
      <c r="B14" t="s">
        <v>28</v>
      </c>
      <c r="C14">
        <v>170</v>
      </c>
      <c r="D14">
        <v>61.75</v>
      </c>
      <c r="E14">
        <v>120</v>
      </c>
      <c r="F14">
        <v>69.83</v>
      </c>
      <c r="G14" s="2">
        <v>100.18</v>
      </c>
      <c r="H14">
        <v>12021</v>
      </c>
      <c r="I14">
        <v>1.18</v>
      </c>
      <c r="J14" s="4">
        <f t="shared" si="0"/>
        <v>602.16194400000006</v>
      </c>
    </row>
    <row r="15" spans="2:10" x14ac:dyDescent="0.25">
      <c r="B15" t="s">
        <v>29</v>
      </c>
      <c r="C15">
        <v>170</v>
      </c>
      <c r="D15">
        <v>61.75</v>
      </c>
      <c r="E15">
        <v>130</v>
      </c>
      <c r="F15">
        <v>70.63</v>
      </c>
      <c r="G15" s="2">
        <v>99.38</v>
      </c>
      <c r="H15">
        <v>12919</v>
      </c>
      <c r="I15">
        <v>1.22</v>
      </c>
      <c r="J15" s="4">
        <f t="shared" si="0"/>
        <v>641.96498599999995</v>
      </c>
    </row>
    <row r="16" spans="2:10" x14ac:dyDescent="0.25">
      <c r="B16" t="s">
        <v>30</v>
      </c>
      <c r="C16">
        <v>170</v>
      </c>
      <c r="D16">
        <v>61.75</v>
      </c>
      <c r="E16">
        <v>140</v>
      </c>
      <c r="F16">
        <v>77.349999999999994</v>
      </c>
      <c r="G16" s="2">
        <v>92.65</v>
      </c>
      <c r="H16">
        <v>12971</v>
      </c>
      <c r="I16">
        <v>1.41</v>
      </c>
      <c r="J16" s="4">
        <f t="shared" si="0"/>
        <v>600.88157500000011</v>
      </c>
    </row>
    <row r="17" spans="2:10" x14ac:dyDescent="0.25">
      <c r="B17" t="s">
        <v>31</v>
      </c>
      <c r="C17">
        <v>170</v>
      </c>
      <c r="D17">
        <v>61.75</v>
      </c>
      <c r="E17">
        <v>150</v>
      </c>
      <c r="F17">
        <v>78.84</v>
      </c>
      <c r="G17" s="2">
        <v>91.16</v>
      </c>
      <c r="H17">
        <v>13674</v>
      </c>
      <c r="I17">
        <v>1.47</v>
      </c>
      <c r="J17" s="4">
        <f t="shared" si="0"/>
        <v>623.26091999999994</v>
      </c>
    </row>
    <row r="18" spans="2:10" x14ac:dyDescent="0.25">
      <c r="B18" t="s">
        <v>32</v>
      </c>
      <c r="C18">
        <v>170</v>
      </c>
      <c r="D18">
        <v>61.75</v>
      </c>
      <c r="E18">
        <v>160</v>
      </c>
      <c r="F18">
        <v>80.33</v>
      </c>
      <c r="G18" s="2">
        <v>89.68</v>
      </c>
      <c r="H18">
        <v>14348</v>
      </c>
      <c r="I18">
        <v>1.53</v>
      </c>
      <c r="J18" s="4">
        <f t="shared" si="0"/>
        <v>643.40019200000017</v>
      </c>
    </row>
    <row r="19" spans="2:10" x14ac:dyDescent="0.25">
      <c r="B19" t="s">
        <v>33</v>
      </c>
      <c r="C19">
        <v>170</v>
      </c>
      <c r="D19">
        <v>61.75</v>
      </c>
      <c r="E19">
        <v>170</v>
      </c>
      <c r="F19">
        <v>81.81</v>
      </c>
      <c r="G19" s="2">
        <v>88.19</v>
      </c>
      <c r="H19">
        <v>14992</v>
      </c>
      <c r="I19">
        <v>1.59</v>
      </c>
      <c r="J19" s="4">
        <f t="shared" si="0"/>
        <v>661.08546850000005</v>
      </c>
    </row>
    <row r="20" spans="2:10" x14ac:dyDescent="0.25">
      <c r="B20" t="s">
        <v>34</v>
      </c>
      <c r="C20">
        <v>170</v>
      </c>
      <c r="D20">
        <v>61.75</v>
      </c>
      <c r="E20">
        <v>180</v>
      </c>
      <c r="F20">
        <v>78.38</v>
      </c>
      <c r="G20" s="2">
        <v>91.63</v>
      </c>
      <c r="H20">
        <v>16493</v>
      </c>
      <c r="I20">
        <v>1.52</v>
      </c>
      <c r="J20" s="4">
        <f t="shared" si="0"/>
        <v>755.6451209999999</v>
      </c>
    </row>
    <row r="21" spans="2:10" x14ac:dyDescent="0.25">
      <c r="B21" t="s">
        <v>35</v>
      </c>
      <c r="C21">
        <v>170</v>
      </c>
      <c r="D21">
        <v>61.75</v>
      </c>
      <c r="E21">
        <v>190</v>
      </c>
      <c r="F21">
        <v>79.8</v>
      </c>
      <c r="G21" s="2">
        <v>90.2</v>
      </c>
      <c r="H21">
        <v>17138</v>
      </c>
      <c r="I21">
        <v>1.58</v>
      </c>
      <c r="J21" s="4">
        <f t="shared" si="0"/>
        <v>772.92380000000003</v>
      </c>
    </row>
    <row r="22" spans="2:10" x14ac:dyDescent="0.25">
      <c r="B22" t="s">
        <v>36</v>
      </c>
      <c r="C22">
        <v>170</v>
      </c>
      <c r="D22">
        <v>61.75</v>
      </c>
      <c r="E22">
        <v>200</v>
      </c>
      <c r="F22">
        <v>81.94</v>
      </c>
      <c r="G22" s="2">
        <v>88.06</v>
      </c>
      <c r="H22">
        <v>17613</v>
      </c>
      <c r="I22">
        <v>1.66</v>
      </c>
      <c r="J22" s="4">
        <f t="shared" si="0"/>
        <v>775.45636000000002</v>
      </c>
    </row>
    <row r="23" spans="2:10" x14ac:dyDescent="0.25">
      <c r="B23" t="s">
        <v>37</v>
      </c>
      <c r="C23">
        <v>170</v>
      </c>
      <c r="D23">
        <v>61.75</v>
      </c>
      <c r="E23">
        <v>220</v>
      </c>
      <c r="F23">
        <v>87.03</v>
      </c>
      <c r="G23" s="2">
        <v>82.98</v>
      </c>
      <c r="H23" s="15">
        <v>18255</v>
      </c>
      <c r="I23">
        <v>1.84</v>
      </c>
      <c r="J23" s="4">
        <f t="shared" si="0"/>
        <v>757.42484400000001</v>
      </c>
    </row>
    <row r="24" spans="2:10" x14ac:dyDescent="0.25">
      <c r="B24" t="s">
        <v>38</v>
      </c>
      <c r="C24">
        <v>170</v>
      </c>
      <c r="D24">
        <v>61.75</v>
      </c>
      <c r="E24">
        <v>240</v>
      </c>
      <c r="F24">
        <v>86.25</v>
      </c>
      <c r="G24" s="2">
        <v>83.75</v>
      </c>
      <c r="H24" s="15">
        <v>20100</v>
      </c>
      <c r="I24">
        <v>1.86</v>
      </c>
      <c r="J24" s="4">
        <f t="shared" si="0"/>
        <v>841.68750000000011</v>
      </c>
    </row>
    <row r="25" spans="2:10" x14ac:dyDescent="0.25">
      <c r="B25" t="s">
        <v>39</v>
      </c>
      <c r="C25">
        <v>170</v>
      </c>
      <c r="D25">
        <v>61.75</v>
      </c>
      <c r="E25">
        <v>260</v>
      </c>
      <c r="F25">
        <v>91.45</v>
      </c>
      <c r="G25" s="2">
        <v>78.55</v>
      </c>
      <c r="H25" s="15">
        <v>20423</v>
      </c>
      <c r="I25">
        <v>2.0499999999999998</v>
      </c>
      <c r="J25" s="4">
        <f t="shared" si="0"/>
        <v>802.11332499999992</v>
      </c>
    </row>
    <row r="26" spans="2:10" x14ac:dyDescent="0.25">
      <c r="B26" t="s">
        <v>40</v>
      </c>
      <c r="C26">
        <v>170</v>
      </c>
      <c r="D26">
        <v>61.75</v>
      </c>
      <c r="E26">
        <v>280</v>
      </c>
      <c r="F26">
        <v>91.35</v>
      </c>
      <c r="G26" s="2">
        <v>78.650000000000006</v>
      </c>
      <c r="H26" s="15">
        <v>22022</v>
      </c>
      <c r="I26">
        <v>2.09</v>
      </c>
      <c r="J26" s="4">
        <f t="shared" si="0"/>
        <v>866.01515000000029</v>
      </c>
    </row>
    <row r="27" spans="2:10" x14ac:dyDescent="0.25">
      <c r="B27" t="s">
        <v>41</v>
      </c>
      <c r="C27">
        <v>170</v>
      </c>
      <c r="D27">
        <v>61.75</v>
      </c>
      <c r="E27">
        <v>300</v>
      </c>
      <c r="F27">
        <v>91.2</v>
      </c>
      <c r="G27" s="2">
        <v>78.8</v>
      </c>
      <c r="H27" s="15">
        <v>23640</v>
      </c>
      <c r="I27">
        <v>2.12</v>
      </c>
      <c r="J27" s="4">
        <f t="shared" si="0"/>
        <v>931.41599999999994</v>
      </c>
    </row>
    <row r="28" spans="2:10" x14ac:dyDescent="0.25">
      <c r="G28" s="2"/>
    </row>
  </sheetData>
  <mergeCells count="10">
    <mergeCell ref="J3:J4"/>
    <mergeCell ref="B2:J2"/>
    <mergeCell ref="B3:B4"/>
    <mergeCell ref="C3:C4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9AAD-8891-428F-8F0F-BE002201FCD6}">
  <dimension ref="B2:D26"/>
  <sheetViews>
    <sheetView workbookViewId="0"/>
  </sheetViews>
  <sheetFormatPr defaultRowHeight="15" x14ac:dyDescent="0.25"/>
  <cols>
    <col min="1" max="1" width="3.7109375" customWidth="1"/>
    <col min="2" max="2" width="30" customWidth="1"/>
    <col min="3" max="3" width="11.7109375" customWidth="1"/>
    <col min="4" max="4" width="10.7109375" customWidth="1"/>
  </cols>
  <sheetData>
    <row r="2" spans="2:4" x14ac:dyDescent="0.25">
      <c r="B2" t="s">
        <v>62</v>
      </c>
    </row>
    <row r="4" spans="2:4" x14ac:dyDescent="0.25">
      <c r="B4" s="24" t="s">
        <v>63</v>
      </c>
      <c r="C4" s="25">
        <v>231</v>
      </c>
      <c r="D4" s="24" t="s">
        <v>5</v>
      </c>
    </row>
    <row r="5" spans="2:4" x14ac:dyDescent="0.25">
      <c r="B5" s="24" t="s">
        <v>64</v>
      </c>
      <c r="C5" s="25">
        <v>55</v>
      </c>
      <c r="D5" s="24" t="s">
        <v>5</v>
      </c>
    </row>
    <row r="6" spans="2:4" x14ac:dyDescent="0.25">
      <c r="B6" s="24" t="s">
        <v>76</v>
      </c>
      <c r="C6" s="25" t="s">
        <v>65</v>
      </c>
      <c r="D6" s="24" t="s">
        <v>3</v>
      </c>
    </row>
    <row r="7" spans="2:4" x14ac:dyDescent="0.25">
      <c r="B7" s="24" t="s">
        <v>66</v>
      </c>
      <c r="C7" s="25">
        <v>1.47</v>
      </c>
      <c r="D7" s="24" t="s">
        <v>4</v>
      </c>
    </row>
    <row r="8" spans="2:4" x14ac:dyDescent="0.25">
      <c r="B8" s="24" t="s">
        <v>71</v>
      </c>
      <c r="C8" s="25">
        <v>43</v>
      </c>
      <c r="D8" s="24" t="s">
        <v>7</v>
      </c>
    </row>
    <row r="9" spans="2:4" x14ac:dyDescent="0.25">
      <c r="B9" s="24" t="s">
        <v>72</v>
      </c>
      <c r="C9" s="25">
        <v>47</v>
      </c>
      <c r="D9" s="24" t="s">
        <v>7</v>
      </c>
    </row>
    <row r="10" spans="2:4" x14ac:dyDescent="0.25">
      <c r="B10" s="24" t="s">
        <v>70</v>
      </c>
      <c r="C10" s="25">
        <v>387</v>
      </c>
      <c r="D10" s="24" t="s">
        <v>7</v>
      </c>
    </row>
    <row r="11" spans="2:4" x14ac:dyDescent="0.25">
      <c r="B11" s="24" t="s">
        <v>67</v>
      </c>
      <c r="C11" s="25">
        <v>297</v>
      </c>
      <c r="D11" s="24" t="s">
        <v>7</v>
      </c>
    </row>
    <row r="12" spans="2:4" x14ac:dyDescent="0.25">
      <c r="B12" s="24" t="s">
        <v>68</v>
      </c>
      <c r="C12" s="25">
        <v>58</v>
      </c>
      <c r="D12" s="24" t="s">
        <v>7</v>
      </c>
    </row>
    <row r="13" spans="2:4" x14ac:dyDescent="0.25">
      <c r="B13" s="24" t="s">
        <v>69</v>
      </c>
      <c r="C13" s="25">
        <v>55</v>
      </c>
      <c r="D13" s="24" t="s">
        <v>7</v>
      </c>
    </row>
    <row r="15" spans="2:4" x14ac:dyDescent="0.25">
      <c r="B15" t="s">
        <v>17</v>
      </c>
    </row>
    <row r="17" spans="2:4" x14ac:dyDescent="0.25">
      <c r="B17" s="24" t="s">
        <v>63</v>
      </c>
      <c r="C17" s="25">
        <v>337</v>
      </c>
      <c r="D17" s="24" t="s">
        <v>5</v>
      </c>
    </row>
    <row r="18" spans="2:4" x14ac:dyDescent="0.25">
      <c r="B18" s="24" t="s">
        <v>64</v>
      </c>
      <c r="C18" s="25">
        <v>55</v>
      </c>
      <c r="D18" s="24" t="s">
        <v>5</v>
      </c>
    </row>
    <row r="19" spans="2:4" x14ac:dyDescent="0.25">
      <c r="B19" s="24" t="s">
        <v>76</v>
      </c>
      <c r="C19" s="25" t="s">
        <v>73</v>
      </c>
      <c r="D19" s="24" t="s">
        <v>3</v>
      </c>
    </row>
    <row r="20" spans="2:4" x14ac:dyDescent="0.25">
      <c r="B20" s="24" t="s">
        <v>66</v>
      </c>
      <c r="C20" s="25">
        <v>1.58</v>
      </c>
      <c r="D20" s="24" t="s">
        <v>4</v>
      </c>
    </row>
    <row r="21" spans="2:4" x14ac:dyDescent="0.25">
      <c r="B21" s="24" t="s">
        <v>71</v>
      </c>
      <c r="C21" s="25">
        <v>46</v>
      </c>
      <c r="D21" s="24" t="s">
        <v>7</v>
      </c>
    </row>
    <row r="22" spans="2:4" x14ac:dyDescent="0.25">
      <c r="B22" s="24" t="s">
        <v>72</v>
      </c>
      <c r="C22" s="25">
        <v>44</v>
      </c>
      <c r="D22" s="24" t="s">
        <v>7</v>
      </c>
    </row>
    <row r="23" spans="2:4" x14ac:dyDescent="0.25">
      <c r="B23" s="24" t="s">
        <v>70</v>
      </c>
      <c r="C23" s="25">
        <v>384</v>
      </c>
      <c r="D23" s="24" t="s">
        <v>7</v>
      </c>
    </row>
    <row r="24" spans="2:4" x14ac:dyDescent="0.25">
      <c r="B24" s="24" t="s">
        <v>67</v>
      </c>
      <c r="C24" s="25">
        <v>294</v>
      </c>
      <c r="D24" s="24" t="s">
        <v>7</v>
      </c>
    </row>
    <row r="25" spans="2:4" x14ac:dyDescent="0.25">
      <c r="B25" s="24" t="s">
        <v>74</v>
      </c>
      <c r="C25" s="25">
        <v>62</v>
      </c>
      <c r="D25" s="24" t="s">
        <v>7</v>
      </c>
    </row>
    <row r="26" spans="2:4" x14ac:dyDescent="0.25">
      <c r="B26" s="24" t="s">
        <v>75</v>
      </c>
      <c r="C26" s="25">
        <v>57</v>
      </c>
      <c r="D26" s="2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004C_Front-Soft</vt:lpstr>
      <vt:lpstr>004C_Rear-Soft</vt:lpstr>
      <vt:lpstr>004C_Front-Stiff</vt:lpstr>
      <vt:lpstr>004C_Rear-Stiff</vt:lpstr>
      <vt:lpstr>KW Springs</vt:lpstr>
      <vt:lpstr>Eibach Springs</vt:lpstr>
      <vt:lpstr>KW-Data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Stefano.Rapisarda</cp:lastModifiedBy>
  <dcterms:created xsi:type="dcterms:W3CDTF">2019-01-21T09:50:21Z</dcterms:created>
  <dcterms:modified xsi:type="dcterms:W3CDTF">2019-08-06T06:38:38Z</dcterms:modified>
</cp:coreProperties>
</file>