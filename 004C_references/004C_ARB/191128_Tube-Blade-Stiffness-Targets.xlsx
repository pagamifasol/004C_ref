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.jourdan\Desktop\21_11\"/>
    </mc:Choice>
  </mc:AlternateContent>
  <xr:revisionPtr revIDLastSave="0" documentId="13_ncr:1_{3B0757EE-F605-40BC-B897-567F9B5BB698}" xr6:coauthVersionLast="45" xr6:coauthVersionMax="45" xr10:uidLastSave="{00000000-0000-0000-0000-000000000000}"/>
  <bookViews>
    <workbookView xWindow="28680" yWindow="-120" windowWidth="38640" windowHeight="15840" tabRatio="678" activeTab="10" xr2:uid="{E60D57C3-97BE-4A17-9F0B-3512D6F5650F}"/>
  </bookViews>
  <sheets>
    <sheet name="blade" sheetId="2" r:id="rId1"/>
    <sheet name="tube 1" sheetId="33" r:id="rId2"/>
    <sheet name="tube 1 (2)" sheetId="42" r:id="rId3"/>
    <sheet name="tube 2" sheetId="30" r:id="rId4"/>
    <sheet name="tube 2 (2)" sheetId="41" r:id="rId5"/>
    <sheet name="tube 3 " sheetId="12" r:id="rId6"/>
    <sheet name="tube 3  (2)" sheetId="43" r:id="rId7"/>
    <sheet name="tube 4" sheetId="34" r:id="rId8"/>
    <sheet name="tube 4 (2)" sheetId="44" r:id="rId9"/>
    <sheet name="tube 5" sheetId="13" r:id="rId10"/>
    <sheet name="FINAL" sheetId="3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2" i="39" l="1"/>
  <c r="Q6" i="39"/>
  <c r="G39" i="44"/>
  <c r="G38" i="44"/>
  <c r="G35" i="44"/>
  <c r="G34" i="44"/>
  <c r="E35" i="44" s="1"/>
  <c r="G32" i="44"/>
  <c r="G25" i="44"/>
  <c r="G24" i="44"/>
  <c r="G15" i="44"/>
  <c r="G17" i="44" s="1"/>
  <c r="G18" i="44" s="1"/>
  <c r="G6" i="44"/>
  <c r="G39" i="43"/>
  <c r="G35" i="43"/>
  <c r="G34" i="43"/>
  <c r="E35" i="43" s="1"/>
  <c r="Q10" i="39" s="1"/>
  <c r="G32" i="43"/>
  <c r="G15" i="43"/>
  <c r="G17" i="43" s="1"/>
  <c r="G18" i="43" s="1"/>
  <c r="G22" i="43" s="1"/>
  <c r="G6" i="43"/>
  <c r="G39" i="42"/>
  <c r="G35" i="42"/>
  <c r="G34" i="42"/>
  <c r="E36" i="42" s="1"/>
  <c r="G32" i="42"/>
  <c r="G15" i="42"/>
  <c r="G17" i="42" s="1"/>
  <c r="G18" i="42" s="1"/>
  <c r="G22" i="42" s="1"/>
  <c r="G6" i="42"/>
  <c r="G39" i="41"/>
  <c r="G35" i="41"/>
  <c r="G34" i="41"/>
  <c r="E35" i="41" s="1"/>
  <c r="Q8" i="39" s="1"/>
  <c r="G32" i="41"/>
  <c r="G15" i="41"/>
  <c r="G17" i="41" s="1"/>
  <c r="G18" i="41" s="1"/>
  <c r="G22" i="41" s="1"/>
  <c r="G6" i="41"/>
  <c r="P6" i="39"/>
  <c r="P7" i="39"/>
  <c r="P8" i="39"/>
  <c r="P9" i="39"/>
  <c r="P10" i="39"/>
  <c r="P11" i="39"/>
  <c r="P12" i="39"/>
  <c r="P13" i="39"/>
  <c r="P14" i="39"/>
  <c r="P15" i="39"/>
  <c r="H6" i="39"/>
  <c r="G6" i="39"/>
  <c r="P5" i="39"/>
  <c r="N10" i="39"/>
  <c r="O10" i="39"/>
  <c r="N8" i="39"/>
  <c r="O6" i="39"/>
  <c r="N6" i="39"/>
  <c r="E36" i="33"/>
  <c r="G35" i="33"/>
  <c r="E35" i="33"/>
  <c r="E36" i="12"/>
  <c r="E35" i="12"/>
  <c r="E36" i="30"/>
  <c r="E35" i="30"/>
  <c r="E36" i="44" l="1"/>
  <c r="G24" i="43"/>
  <c r="G25" i="43" s="1"/>
  <c r="G38" i="43"/>
  <c r="E36" i="43"/>
  <c r="G24" i="42"/>
  <c r="G25" i="42" s="1"/>
  <c r="G38" i="42"/>
  <c r="E35" i="42"/>
  <c r="G24" i="41"/>
  <c r="G25" i="41" s="1"/>
  <c r="G38" i="41"/>
  <c r="E36" i="41"/>
  <c r="F5" i="39"/>
  <c r="G5" i="39"/>
  <c r="H5" i="39"/>
  <c r="D6" i="39"/>
  <c r="F6" i="39"/>
  <c r="D7" i="39"/>
  <c r="F7" i="39" s="1"/>
  <c r="D8" i="39"/>
  <c r="G8" i="39" s="1"/>
  <c r="F8" i="39"/>
  <c r="D9" i="39"/>
  <c r="G9" i="39" s="1"/>
  <c r="D10" i="39"/>
  <c r="F10" i="39" s="1"/>
  <c r="G10" i="39"/>
  <c r="H10" i="39"/>
  <c r="D11" i="39"/>
  <c r="G11" i="39" s="1"/>
  <c r="D12" i="39"/>
  <c r="G12" i="39" s="1"/>
  <c r="F12" i="39"/>
  <c r="D13" i="39"/>
  <c r="G13" i="39" s="1"/>
  <c r="F13" i="39"/>
  <c r="D14" i="39"/>
  <c r="F14" i="39" s="1"/>
  <c r="D15" i="39"/>
  <c r="F15" i="39" s="1"/>
  <c r="H12" i="39" l="1"/>
  <c r="F9" i="39"/>
  <c r="H14" i="39"/>
  <c r="G14" i="39"/>
  <c r="H8" i="39"/>
  <c r="F11" i="39"/>
  <c r="H13" i="39"/>
  <c r="H11" i="39"/>
  <c r="H9" i="39"/>
  <c r="H7" i="39"/>
  <c r="G7" i="39"/>
  <c r="H15" i="39"/>
  <c r="G15" i="39"/>
  <c r="G34" i="33"/>
  <c r="G39" i="34"/>
  <c r="G38" i="34"/>
  <c r="G35" i="34"/>
  <c r="G34" i="34"/>
  <c r="G32" i="34"/>
  <c r="G24" i="34"/>
  <c r="G25" i="34" s="1"/>
  <c r="G15" i="34"/>
  <c r="G17" i="34" s="1"/>
  <c r="G18" i="34" s="1"/>
  <c r="G6" i="34"/>
  <c r="G39" i="33"/>
  <c r="G32" i="33"/>
  <c r="G15" i="33"/>
  <c r="G17" i="33"/>
  <c r="G18" i="33" s="1"/>
  <c r="G22" i="33" s="1"/>
  <c r="G6" i="33"/>
  <c r="G39" i="30"/>
  <c r="G35" i="30"/>
  <c r="G32" i="30"/>
  <c r="G15" i="30"/>
  <c r="G17" i="30"/>
  <c r="G18" i="30" s="1"/>
  <c r="G22" i="30" s="1"/>
  <c r="G6" i="30"/>
  <c r="G34" i="12"/>
  <c r="E35" i="34" l="1"/>
  <c r="O12" i="39" s="1"/>
  <c r="E36" i="34"/>
  <c r="N12" i="39" s="1"/>
  <c r="G24" i="33"/>
  <c r="G25" i="33" s="1"/>
  <c r="G38" i="33"/>
  <c r="G38" i="30"/>
  <c r="G24" i="30"/>
  <c r="G25" i="30" s="1"/>
  <c r="G34" i="30"/>
  <c r="G39" i="13" l="1"/>
  <c r="G35" i="13"/>
  <c r="G34" i="13"/>
  <c r="E35" i="13" s="1"/>
  <c r="G32" i="13"/>
  <c r="G15" i="13"/>
  <c r="G6" i="13"/>
  <c r="G39" i="12"/>
  <c r="G35" i="12"/>
  <c r="G32" i="12"/>
  <c r="G15" i="12"/>
  <c r="G17" i="12" s="1"/>
  <c r="G18" i="12" s="1"/>
  <c r="G22" i="12" s="1"/>
  <c r="G6" i="12"/>
  <c r="D29" i="2"/>
  <c r="H29" i="2"/>
  <c r="G18" i="13" l="1"/>
  <c r="G17" i="13"/>
  <c r="G24" i="12"/>
  <c r="G25" i="12" s="1"/>
  <c r="G38" i="12"/>
  <c r="G38" i="13"/>
  <c r="G24" i="13"/>
  <c r="G25" i="13" s="1"/>
  <c r="E2" i="2"/>
  <c r="T18" i="2" l="1"/>
  <c r="U18" i="2" s="1"/>
  <c r="W18" i="2"/>
  <c r="D35" i="2"/>
  <c r="F35" i="2" s="1"/>
  <c r="H35" i="2"/>
  <c r="D36" i="2"/>
  <c r="F36" i="2"/>
  <c r="G36" i="2"/>
  <c r="H36" i="2"/>
  <c r="T17" i="2"/>
  <c r="U17" i="2" s="1"/>
  <c r="W17" i="2"/>
  <c r="T14" i="2"/>
  <c r="U14" i="2" s="1"/>
  <c r="W14" i="2"/>
  <c r="T25" i="2"/>
  <c r="U25" i="2" s="1"/>
  <c r="W25" i="2"/>
  <c r="T26" i="2"/>
  <c r="U26" i="2" s="1"/>
  <c r="W26" i="2"/>
  <c r="G35" i="2" l="1"/>
  <c r="T21" i="2"/>
  <c r="U21" i="2" s="1"/>
  <c r="W21" i="2"/>
  <c r="T22" i="2"/>
  <c r="U22" i="2"/>
  <c r="W22" i="2"/>
  <c r="T23" i="2"/>
  <c r="U23" i="2" s="1"/>
  <c r="W23" i="2"/>
  <c r="T24" i="2"/>
  <c r="U24" i="2" s="1"/>
  <c r="W24" i="2"/>
  <c r="D38" i="2" l="1"/>
  <c r="G38" i="2" s="1"/>
  <c r="D37" i="2"/>
  <c r="F37" i="2" s="1"/>
  <c r="D34" i="2"/>
  <c r="F34" i="2" s="1"/>
  <c r="D33" i="2"/>
  <c r="G33" i="2" s="1"/>
  <c r="D32" i="2"/>
  <c r="F32" i="2" s="1"/>
  <c r="D31" i="2"/>
  <c r="G31" i="2" s="1"/>
  <c r="D30" i="2"/>
  <c r="F30" i="2" s="1"/>
  <c r="F29" i="2"/>
  <c r="W20" i="2"/>
  <c r="T20" i="2"/>
  <c r="U20" i="2" s="1"/>
  <c r="W19" i="2"/>
  <c r="T19" i="2"/>
  <c r="U19" i="2" s="1"/>
  <c r="W15" i="2"/>
  <c r="T15" i="2"/>
  <c r="U15" i="2" s="1"/>
  <c r="D14" i="2"/>
  <c r="H14" i="2" s="1"/>
  <c r="W13" i="2"/>
  <c r="T13" i="2"/>
  <c r="U13" i="2" s="1"/>
  <c r="D13" i="2"/>
  <c r="F13" i="2" s="1"/>
  <c r="W12" i="2"/>
  <c r="T12" i="2"/>
  <c r="U12" i="2" s="1"/>
  <c r="W11" i="2"/>
  <c r="T11" i="2"/>
  <c r="U11" i="2" s="1"/>
  <c r="D11" i="2"/>
  <c r="H11" i="2" s="1"/>
  <c r="W10" i="2"/>
  <c r="S10" i="2"/>
  <c r="T10" i="2" s="1"/>
  <c r="U10" i="2" s="1"/>
  <c r="D10" i="2"/>
  <c r="H10" i="2" s="1"/>
  <c r="W9" i="2"/>
  <c r="S9" i="2"/>
  <c r="T9" i="2" s="1"/>
  <c r="U9" i="2" s="1"/>
  <c r="W8" i="2"/>
  <c r="S8" i="2"/>
  <c r="T8" i="2" s="1"/>
  <c r="U8" i="2" s="1"/>
  <c r="D8" i="2"/>
  <c r="F8" i="2" s="1"/>
  <c r="W7" i="2"/>
  <c r="T7" i="2"/>
  <c r="U7" i="2" s="1"/>
  <c r="D7" i="2"/>
  <c r="G7" i="2" s="1"/>
  <c r="W6" i="2"/>
  <c r="S6" i="2"/>
  <c r="T6" i="2" s="1"/>
  <c r="U6" i="2" s="1"/>
  <c r="W5" i="2"/>
  <c r="S5" i="2"/>
  <c r="T5" i="2" s="1"/>
  <c r="U5" i="2" s="1"/>
  <c r="H5" i="2"/>
  <c r="G5" i="2"/>
  <c r="F5" i="2"/>
  <c r="H8" i="2" l="1"/>
  <c r="F7" i="2"/>
  <c r="H32" i="2"/>
  <c r="H7" i="2"/>
  <c r="G8" i="2"/>
  <c r="H13" i="2"/>
  <c r="G13" i="2"/>
  <c r="G34" i="2"/>
  <c r="H34" i="2"/>
  <c r="G30" i="2"/>
  <c r="H30" i="2"/>
  <c r="G32" i="2"/>
  <c r="H38" i="2"/>
  <c r="F33" i="2"/>
  <c r="G29" i="2"/>
  <c r="F11" i="2"/>
  <c r="H31" i="2"/>
  <c r="H33" i="2"/>
  <c r="G10" i="2"/>
  <c r="G11" i="2"/>
  <c r="F14" i="2"/>
  <c r="F31" i="2"/>
  <c r="F10" i="2"/>
  <c r="H37" i="2"/>
  <c r="G14" i="2"/>
  <c r="F38" i="2"/>
</calcChain>
</file>

<file path=xl/sharedStrings.xml><?xml version="1.0" encoding="utf-8"?>
<sst xmlns="http://schemas.openxmlformats.org/spreadsheetml/2006/main" count="535" uniqueCount="87">
  <si>
    <t>Max torsion</t>
  </si>
  <si>
    <t>deg</t>
  </si>
  <si>
    <t>Kblade_simTuboRigido</t>
  </si>
  <si>
    <t>ground</t>
  </si>
  <si>
    <t>arb_eq
[Nm/deg]</t>
  </si>
  <si>
    <t>Tube deflection ratio</t>
  </si>
  <si>
    <t>Ktube [Nm/deg]</t>
  </si>
  <si>
    <t>Kblade
[Nm/deg]</t>
  </si>
  <si>
    <t>Max Trq</t>
  </si>
  <si>
    <t>Sp</t>
  </si>
  <si>
    <t>L</t>
  </si>
  <si>
    <t>Rot</t>
  </si>
  <si>
    <t>Myy [Nm]</t>
  </si>
  <si>
    <t>Rot y - half bar rad</t>
  </si>
  <si>
    <t xml:space="preserve">Rot y-
deg </t>
  </si>
  <si>
    <t>K blade</t>
  </si>
  <si>
    <t>Stress Max</t>
  </si>
  <si>
    <t>SF</t>
  </si>
  <si>
    <t>ref</t>
  </si>
  <si>
    <t>max 1</t>
  </si>
  <si>
    <t>min 1</t>
  </si>
  <si>
    <t>max2</t>
  </si>
  <si>
    <t>min2</t>
  </si>
  <si>
    <t>max3</t>
  </si>
  <si>
    <t>min3</t>
  </si>
  <si>
    <t>max4</t>
  </si>
  <si>
    <t>min4</t>
  </si>
  <si>
    <t>G</t>
  </si>
  <si>
    <t>Pa</t>
  </si>
  <si>
    <t>004C FRONT</t>
  </si>
  <si>
    <t xml:space="preserve">yield_strenght </t>
  </si>
  <si>
    <t>Mpa</t>
  </si>
  <si>
    <t>Rigidezza a terra ARB</t>
  </si>
  <si>
    <t>N/mm</t>
  </si>
  <si>
    <t>Delta Jounce max</t>
  </si>
  <si>
    <t>m</t>
  </si>
  <si>
    <t>ARB F max</t>
  </si>
  <si>
    <t>N a terra</t>
  </si>
  <si>
    <t>Tau fissaggio arb</t>
  </si>
  <si>
    <t>terra/arb</t>
  </si>
  <si>
    <t>Forza arb</t>
  </si>
  <si>
    <t>N arb</t>
  </si>
  <si>
    <t>Leva arb</t>
  </si>
  <si>
    <t>Momento torcente arb</t>
  </si>
  <si>
    <t>Nm</t>
  </si>
  <si>
    <t>Angolo torsione arb</t>
  </si>
  <si>
    <t>Ridigezza torsionale arb</t>
  </si>
  <si>
    <t>Nm/deg</t>
  </si>
  <si>
    <t>in radianti</t>
  </si>
  <si>
    <t>Nm/rad</t>
  </si>
  <si>
    <t>Lunghezza barra</t>
  </si>
  <si>
    <t>Diametro arb piena</t>
  </si>
  <si>
    <t>mm</t>
  </si>
  <si>
    <t>Tensione al bordo esterno</t>
  </si>
  <si>
    <t>Ipotesi barra cava</t>
  </si>
  <si>
    <t>D</t>
  </si>
  <si>
    <t>d</t>
  </si>
  <si>
    <t>K</t>
  </si>
  <si>
    <t>sf</t>
  </si>
  <si>
    <t xml:space="preserve">max shear </t>
  </si>
  <si>
    <t>max 0.45 sigma snervamento</t>
  </si>
  <si>
    <t>Massa arb piena</t>
  </si>
  <si>
    <t>kg</t>
  </si>
  <si>
    <t>Massa arb cava</t>
  </si>
  <si>
    <t xml:space="preserve">max 4 </t>
  </si>
  <si>
    <t>Ø 25 x 2.5</t>
  </si>
  <si>
    <t>Ø 20</t>
  </si>
  <si>
    <t>Ø 25 x 1.5</t>
  </si>
  <si>
    <t>max5</t>
  </si>
  <si>
    <t>min5</t>
  </si>
  <si>
    <t>blade thick</t>
  </si>
  <si>
    <t>blade length</t>
  </si>
  <si>
    <t>blade orient</t>
  </si>
  <si>
    <t>blade SF</t>
  </si>
  <si>
    <t>tube SF</t>
  </si>
  <si>
    <t>tube dimension</t>
  </si>
  <si>
    <t xml:space="preserve">Ø 30 x 2 </t>
  </si>
  <si>
    <t>Ø 30 x 2</t>
  </si>
  <si>
    <t xml:space="preserve">Ø 28 x 2 </t>
  </si>
  <si>
    <t>Rm</t>
  </si>
  <si>
    <t xml:space="preserve">Max </t>
  </si>
  <si>
    <t>sf(Rp02)</t>
  </si>
  <si>
    <t>sf(Rm)</t>
  </si>
  <si>
    <t>(Rm)</t>
  </si>
  <si>
    <t>(Rp02)</t>
  </si>
  <si>
    <t>Max Trq
(max roll+30%susp)</t>
  </si>
  <si>
    <t>Max Trq
(max roll)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</si>
</sst>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00000"/>
  </numFmts>
  <fonts count="1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205">
    <xf numFmtId="0" fontId="0" fillId="0" borderId="0" xfId="0"/>
    <xf numFmtId="0" fontId="0" fillId="0" borderId="6" xfId="0" applyBorder="1"/>
    <xf numFmtId="0" fontId="0" fillId="0" borderId="7" xfId="0" applyBorder="1"/>
    <xf numFmtId="16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/>
    <xf numFmtId="0" fontId="0" fillId="0" borderId="9" xfId="0" applyBorder="1"/>
    <xf numFmtId="2" fontId="0" fillId="0" borderId="10" xfId="0" applyNumberFormat="1" applyBorder="1"/>
    <xf numFmtId="164" fontId="0" fillId="0" borderId="10" xfId="0" applyNumberFormat="1" applyBorder="1"/>
    <xf numFmtId="1" fontId="0" fillId="0" borderId="10" xfId="0" applyNumberFormat="1" applyBorder="1"/>
    <xf numFmtId="1" fontId="0" fillId="0" borderId="11" xfId="0" applyNumberFormat="1" applyBorder="1"/>
    <xf numFmtId="0" fontId="5" fillId="4" borderId="0" xfId="0" applyFont="1" applyFill="1"/>
    <xf numFmtId="2" fontId="5" fillId="4" borderId="0" xfId="0" applyNumberFormat="1" applyFont="1" applyFill="1"/>
    <xf numFmtId="1" fontId="5" fillId="4" borderId="0" xfId="0" applyNumberFormat="1" applyFont="1" applyFill="1"/>
    <xf numFmtId="2" fontId="0" fillId="0" borderId="0" xfId="0" applyNumberFormat="1"/>
    <xf numFmtId="1" fontId="0" fillId="0" borderId="0" xfId="0" applyNumberFormat="1"/>
    <xf numFmtId="0" fontId="10" fillId="2" borderId="12" xfId="1" applyFont="1" applyBorder="1"/>
    <xf numFmtId="0" fontId="10" fillId="2" borderId="1" xfId="1" applyFont="1"/>
    <xf numFmtId="0" fontId="11" fillId="3" borderId="2" xfId="2" applyFont="1"/>
    <xf numFmtId="0" fontId="11" fillId="3" borderId="14" xfId="2" applyFont="1" applyBorder="1"/>
    <xf numFmtId="0" fontId="14" fillId="4" borderId="0" xfId="0" applyFont="1" applyFill="1"/>
    <xf numFmtId="0" fontId="7" fillId="4" borderId="0" xfId="0" applyFont="1" applyFill="1"/>
    <xf numFmtId="2" fontId="7" fillId="4" borderId="0" xfId="0" applyNumberFormat="1" applyFont="1" applyFill="1"/>
    <xf numFmtId="1" fontId="7" fillId="4" borderId="0" xfId="0" applyNumberFormat="1" applyFont="1" applyFill="1"/>
    <xf numFmtId="16" fontId="0" fillId="0" borderId="9" xfId="0" applyNumberForma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0" fillId="0" borderId="0" xfId="0" applyFont="1"/>
    <xf numFmtId="1" fontId="0" fillId="0" borderId="7" xfId="0" applyNumberFormat="1" applyBorder="1"/>
    <xf numFmtId="2" fontId="10" fillId="0" borderId="0" xfId="0" applyNumberFormat="1" applyFont="1"/>
    <xf numFmtId="1" fontId="10" fillId="0" borderId="0" xfId="0" applyNumberFormat="1" applyFont="1"/>
    <xf numFmtId="0" fontId="4" fillId="0" borderId="9" xfId="0" applyFont="1" applyBorder="1"/>
    <xf numFmtId="11" fontId="0" fillId="0" borderId="10" xfId="0" applyNumberFormat="1" applyBorder="1"/>
    <xf numFmtId="0" fontId="0" fillId="0" borderId="11" xfId="0" applyBorder="1"/>
    <xf numFmtId="165" fontId="0" fillId="0" borderId="0" xfId="0" applyNumberFormat="1"/>
    <xf numFmtId="0" fontId="15" fillId="6" borderId="6" xfId="0" applyFont="1" applyFill="1" applyBorder="1"/>
    <xf numFmtId="0" fontId="15" fillId="6" borderId="0" xfId="0" applyFont="1" applyFill="1"/>
    <xf numFmtId="0" fontId="15" fillId="6" borderId="7" xfId="0" applyFont="1" applyFill="1" applyBorder="1"/>
    <xf numFmtId="164" fontId="15" fillId="6" borderId="0" xfId="0" applyNumberFormat="1" applyFont="1" applyFill="1"/>
    <xf numFmtId="0" fontId="15" fillId="0" borderId="6" xfId="0" applyFont="1" applyBorder="1"/>
    <xf numFmtId="0" fontId="15" fillId="0" borderId="0" xfId="0" applyFont="1"/>
    <xf numFmtId="0" fontId="15" fillId="0" borderId="7" xfId="0" applyFont="1" applyBorder="1"/>
    <xf numFmtId="0" fontId="0" fillId="6" borderId="6" xfId="0" applyFill="1" applyBorder="1"/>
    <xf numFmtId="0" fontId="0" fillId="6" borderId="0" xfId="0" applyFill="1"/>
    <xf numFmtId="0" fontId="0" fillId="6" borderId="7" xfId="0" applyFill="1" applyBorder="1"/>
    <xf numFmtId="0" fontId="0" fillId="7" borderId="6" xfId="0" applyFill="1" applyBorder="1"/>
    <xf numFmtId="166" fontId="9" fillId="7" borderId="0" xfId="0" applyNumberFormat="1" applyFont="1" applyFill="1"/>
    <xf numFmtId="0" fontId="3" fillId="7" borderId="7" xfId="0" applyFont="1" applyFill="1" applyBorder="1"/>
    <xf numFmtId="166" fontId="0" fillId="7" borderId="0" xfId="0" applyNumberFormat="1" applyFill="1"/>
    <xf numFmtId="0" fontId="0" fillId="7" borderId="7" xfId="0" applyFill="1" applyBorder="1"/>
    <xf numFmtId="11" fontId="0" fillId="0" borderId="0" xfId="0" applyNumberFormat="1"/>
    <xf numFmtId="1" fontId="0" fillId="7" borderId="0" xfId="0" applyNumberFormat="1" applyFill="1"/>
    <xf numFmtId="0" fontId="4" fillId="5" borderId="18" xfId="0" applyFont="1" applyFill="1" applyBorder="1"/>
    <xf numFmtId="0" fontId="0" fillId="5" borderId="19" xfId="0" applyFill="1" applyBorder="1"/>
    <xf numFmtId="0" fontId="0" fillId="5" borderId="20" xfId="0" applyFill="1" applyBorder="1"/>
    <xf numFmtId="2" fontId="9" fillId="5" borderId="19" xfId="0" applyNumberFormat="1" applyFont="1" applyFill="1" applyBorder="1"/>
    <xf numFmtId="0" fontId="3" fillId="5" borderId="20" xfId="0" applyFont="1" applyFill="1" applyBorder="1"/>
    <xf numFmtId="0" fontId="4" fillId="5" borderId="21" xfId="0" applyFont="1" applyFill="1" applyBorder="1"/>
    <xf numFmtId="167" fontId="0" fillId="5" borderId="19" xfId="0" applyNumberFormat="1" applyFill="1" applyBorder="1"/>
    <xf numFmtId="0" fontId="3" fillId="5" borderId="22" xfId="0" applyFont="1" applyFill="1" applyBorder="1"/>
    <xf numFmtId="0" fontId="4" fillId="5" borderId="15" xfId="0" applyFont="1" applyFill="1" applyBorder="1"/>
    <xf numFmtId="0" fontId="0" fillId="5" borderId="0" xfId="0" applyFill="1"/>
    <xf numFmtId="0" fontId="3" fillId="5" borderId="17" xfId="0" applyFont="1" applyFill="1" applyBorder="1"/>
    <xf numFmtId="0" fontId="4" fillId="5" borderId="3" xfId="0" applyFont="1" applyFill="1" applyBorder="1"/>
    <xf numFmtId="2" fontId="0" fillId="0" borderId="4" xfId="0" applyNumberFormat="1" applyBorder="1"/>
    <xf numFmtId="0" fontId="0" fillId="0" borderId="5" xfId="0" applyBorder="1"/>
    <xf numFmtId="2" fontId="0" fillId="0" borderId="16" xfId="0" applyNumberFormat="1" applyBorder="1"/>
    <xf numFmtId="0" fontId="0" fillId="0" borderId="17" xfId="0" applyBorder="1"/>
    <xf numFmtId="0" fontId="5" fillId="8" borderId="12" xfId="1" applyFont="1" applyFill="1" applyBorder="1"/>
    <xf numFmtId="0" fontId="5" fillId="8" borderId="1" xfId="1" applyFont="1" applyFill="1"/>
    <xf numFmtId="0" fontId="6" fillId="8" borderId="2" xfId="2" applyFont="1" applyFill="1"/>
    <xf numFmtId="0" fontId="6" fillId="8" borderId="13" xfId="2" applyFont="1" applyFill="1" applyBorder="1"/>
    <xf numFmtId="0" fontId="6" fillId="8" borderId="14" xfId="2" applyFont="1" applyFill="1" applyBorder="1"/>
    <xf numFmtId="0" fontId="7" fillId="8" borderId="12" xfId="1" applyFont="1" applyFill="1" applyBorder="1"/>
    <xf numFmtId="0" fontId="7" fillId="8" borderId="1" xfId="1" applyFont="1" applyFill="1"/>
    <xf numFmtId="0" fontId="8" fillId="8" borderId="2" xfId="2" applyFont="1" applyFill="1"/>
    <xf numFmtId="0" fontId="8" fillId="8" borderId="14" xfId="2" applyFont="1" applyFill="1" applyBorder="1"/>
    <xf numFmtId="0" fontId="9" fillId="8" borderId="14" xfId="2" applyFont="1" applyFill="1" applyBorder="1"/>
    <xf numFmtId="0" fontId="12" fillId="8" borderId="12" xfId="1" applyFont="1" applyFill="1" applyBorder="1"/>
    <xf numFmtId="0" fontId="12" fillId="8" borderId="1" xfId="1" applyFont="1" applyFill="1"/>
    <xf numFmtId="0" fontId="13" fillId="8" borderId="2" xfId="2" applyFont="1" applyFill="1"/>
    <xf numFmtId="0" fontId="13" fillId="8" borderId="14" xfId="2" applyFont="1" applyFill="1" applyBorder="1"/>
    <xf numFmtId="0" fontId="5" fillId="8" borderId="0" xfId="0" applyFont="1" applyFill="1"/>
    <xf numFmtId="2" fontId="5" fillId="8" borderId="0" xfId="0" applyNumberFormat="1" applyFont="1" applyFill="1"/>
    <xf numFmtId="1" fontId="5" fillId="8" borderId="0" xfId="0" applyNumberFormat="1" applyFont="1" applyFill="1"/>
    <xf numFmtId="0" fontId="5" fillId="8" borderId="6" xfId="0" applyFont="1" applyFill="1" applyBorder="1"/>
    <xf numFmtId="1" fontId="5" fillId="8" borderId="7" xfId="0" applyNumberFormat="1" applyFont="1" applyFill="1" applyBorder="1"/>
    <xf numFmtId="0" fontId="14" fillId="8" borderId="6" xfId="0" applyFont="1" applyFill="1" applyBorder="1"/>
    <xf numFmtId="0" fontId="7" fillId="8" borderId="0" xfId="0" applyFont="1" applyFill="1"/>
    <xf numFmtId="2" fontId="7" fillId="8" borderId="0" xfId="0" applyNumberFormat="1" applyFont="1" applyFill="1"/>
    <xf numFmtId="1" fontId="7" fillId="8" borderId="0" xfId="0" applyNumberFormat="1" applyFont="1" applyFill="1"/>
    <xf numFmtId="1" fontId="7" fillId="8" borderId="7" xfId="0" applyNumberFormat="1" applyFont="1" applyFill="1" applyBorder="1"/>
    <xf numFmtId="0" fontId="0" fillId="8" borderId="6" xfId="0" applyFill="1" applyBorder="1"/>
    <xf numFmtId="0" fontId="12" fillId="8" borderId="0" xfId="0" applyFont="1" applyFill="1"/>
    <xf numFmtId="2" fontId="12" fillId="8" borderId="0" xfId="0" applyNumberFormat="1" applyFont="1" applyFill="1"/>
    <xf numFmtId="1" fontId="12" fillId="8" borderId="0" xfId="0" applyNumberFormat="1" applyFont="1" applyFill="1"/>
    <xf numFmtId="1" fontId="12" fillId="8" borderId="7" xfId="0" applyNumberFormat="1" applyFont="1" applyFill="1" applyBorder="1"/>
    <xf numFmtId="0" fontId="16" fillId="8" borderId="12" xfId="1" applyFont="1" applyFill="1" applyBorder="1"/>
    <xf numFmtId="0" fontId="16" fillId="8" borderId="1" xfId="1" applyFont="1" applyFill="1"/>
    <xf numFmtId="0" fontId="17" fillId="8" borderId="2" xfId="2" applyFont="1" applyFill="1"/>
    <xf numFmtId="0" fontId="17" fillId="8" borderId="14" xfId="2" applyFont="1" applyFill="1" applyBorder="1"/>
    <xf numFmtId="0" fontId="16" fillId="0" borderId="6" xfId="0" applyFont="1" applyBorder="1"/>
    <xf numFmtId="0" fontId="16" fillId="0" borderId="0" xfId="0" applyFont="1"/>
    <xf numFmtId="2" fontId="16" fillId="0" borderId="0" xfId="0" applyNumberFormat="1" applyFont="1"/>
    <xf numFmtId="1" fontId="16" fillId="0" borderId="0" xfId="0" applyNumberFormat="1" applyFont="1"/>
    <xf numFmtId="1" fontId="16" fillId="0" borderId="7" xfId="0" applyNumberFormat="1" applyFont="1" applyBorder="1"/>
    <xf numFmtId="0" fontId="16" fillId="0" borderId="15" xfId="0" applyFont="1" applyBorder="1"/>
    <xf numFmtId="0" fontId="16" fillId="0" borderId="16" xfId="0" applyFont="1" applyBorder="1"/>
    <xf numFmtId="2" fontId="16" fillId="0" borderId="16" xfId="0" applyNumberFormat="1" applyFont="1" applyBorder="1"/>
    <xf numFmtId="1" fontId="16" fillId="0" borderId="16" xfId="0" applyNumberFormat="1" applyFont="1" applyBorder="1"/>
    <xf numFmtId="1" fontId="16" fillId="0" borderId="17" xfId="0" applyNumberFormat="1" applyFont="1" applyBorder="1"/>
    <xf numFmtId="0" fontId="0" fillId="0" borderId="0" xfId="0" applyBorder="1" applyAlignment="1">
      <alignment vertical="top" wrapText="1"/>
    </xf>
    <xf numFmtId="1" fontId="0" fillId="0" borderId="0" xfId="0" applyNumberFormat="1" applyFill="1" applyBorder="1"/>
    <xf numFmtId="1" fontId="10" fillId="0" borderId="0" xfId="0" applyNumberFormat="1" applyFont="1" applyFill="1" applyBorder="1"/>
    <xf numFmtId="1" fontId="7" fillId="0" borderId="0" xfId="0" applyNumberFormat="1" applyFont="1" applyFill="1"/>
    <xf numFmtId="0" fontId="0" fillId="0" borderId="6" xfId="0" applyFont="1" applyBorder="1"/>
    <xf numFmtId="1" fontId="0" fillId="0" borderId="0" xfId="0" applyNumberFormat="1" applyFont="1"/>
    <xf numFmtId="0" fontId="0" fillId="0" borderId="7" xfId="0" applyFont="1" applyBorder="1"/>
    <xf numFmtId="0" fontId="0" fillId="6" borderId="6" xfId="0" applyFont="1" applyFill="1" applyBorder="1"/>
    <xf numFmtId="0" fontId="0" fillId="6" borderId="0" xfId="0" applyFont="1" applyFill="1"/>
    <xf numFmtId="0" fontId="0" fillId="6" borderId="7" xfId="0" applyFont="1" applyFill="1" applyBorder="1"/>
    <xf numFmtId="0" fontId="0" fillId="0" borderId="0" xfId="0" applyFont="1"/>
    <xf numFmtId="2" fontId="0" fillId="0" borderId="0" xfId="0" applyNumberFormat="1" applyFont="1"/>
    <xf numFmtId="0" fontId="0" fillId="7" borderId="6" xfId="0" applyFont="1" applyFill="1" applyBorder="1"/>
    <xf numFmtId="166" fontId="3" fillId="7" borderId="0" xfId="0" applyNumberFormat="1" applyFont="1" applyFill="1"/>
    <xf numFmtId="0" fontId="0" fillId="0" borderId="0" xfId="0" applyFill="1" applyBorder="1" applyAlignment="1">
      <alignment horizontal="center" vertical="top" wrapText="1"/>
    </xf>
    <xf numFmtId="0" fontId="10" fillId="9" borderId="6" xfId="0" applyFont="1" applyFill="1" applyBorder="1"/>
    <xf numFmtId="0" fontId="10" fillId="8" borderId="6" xfId="0" applyFont="1" applyFill="1" applyBorder="1"/>
    <xf numFmtId="0" fontId="10" fillId="10" borderId="6" xfId="0" applyFont="1" applyFill="1" applyBorder="1"/>
    <xf numFmtId="0" fontId="10" fillId="11" borderId="6" xfId="0" applyFont="1" applyFill="1" applyBorder="1"/>
    <xf numFmtId="0" fontId="10" fillId="11" borderId="15" xfId="0" applyFont="1" applyFill="1" applyBorder="1"/>
    <xf numFmtId="0" fontId="10" fillId="11" borderId="16" xfId="0" applyFont="1" applyFill="1" applyBorder="1"/>
    <xf numFmtId="2" fontId="10" fillId="11" borderId="16" xfId="0" applyNumberFormat="1" applyFont="1" applyFill="1" applyBorder="1"/>
    <xf numFmtId="1" fontId="10" fillId="11" borderId="16" xfId="0" applyNumberFormat="1" applyFont="1" applyFill="1" applyBorder="1"/>
    <xf numFmtId="0" fontId="10" fillId="12" borderId="6" xfId="0" applyFont="1" applyFill="1" applyBorder="1"/>
    <xf numFmtId="1" fontId="10" fillId="9" borderId="0" xfId="0" applyNumberFormat="1" applyFont="1" applyFill="1" applyBorder="1"/>
    <xf numFmtId="1" fontId="10" fillId="10" borderId="0" xfId="0" applyNumberFormat="1" applyFont="1" applyFill="1" applyBorder="1"/>
    <xf numFmtId="1" fontId="10" fillId="8" borderId="0" xfId="0" applyNumberFormat="1" applyFont="1" applyFill="1" applyBorder="1"/>
    <xf numFmtId="1" fontId="10" fillId="12" borderId="0" xfId="0" applyNumberFormat="1" applyFont="1" applyFill="1" applyBorder="1"/>
    <xf numFmtId="1" fontId="10" fillId="11" borderId="0" xfId="0" applyNumberFormat="1" applyFont="1" applyFill="1" applyBorder="1"/>
    <xf numFmtId="0" fontId="10" fillId="9" borderId="0" xfId="1" applyFont="1" applyFill="1" applyBorder="1"/>
    <xf numFmtId="0" fontId="10" fillId="10" borderId="0" xfId="1" applyFont="1" applyFill="1" applyBorder="1"/>
    <xf numFmtId="0" fontId="10" fillId="8" borderId="0" xfId="1" applyFont="1" applyFill="1" applyBorder="1"/>
    <xf numFmtId="0" fontId="10" fillId="12" borderId="0" xfId="1" applyFont="1" applyFill="1" applyBorder="1"/>
    <xf numFmtId="0" fontId="10" fillId="11" borderId="0" xfId="1" applyFont="1" applyFill="1" applyBorder="1"/>
    <xf numFmtId="1" fontId="0" fillId="0" borderId="4" xfId="0" applyNumberFormat="1" applyBorder="1"/>
    <xf numFmtId="0" fontId="0" fillId="0" borderId="4" xfId="0" applyBorder="1"/>
    <xf numFmtId="0" fontId="10" fillId="9" borderId="0" xfId="0" applyFont="1" applyFill="1" applyBorder="1"/>
    <xf numFmtId="2" fontId="10" fillId="9" borderId="0" xfId="0" applyNumberFormat="1" applyFont="1" applyFill="1" applyBorder="1"/>
    <xf numFmtId="0" fontId="10" fillId="9" borderId="7" xfId="1" applyFont="1" applyFill="1" applyBorder="1"/>
    <xf numFmtId="0" fontId="10" fillId="10" borderId="0" xfId="0" applyFont="1" applyFill="1" applyBorder="1"/>
    <xf numFmtId="2" fontId="10" fillId="10" borderId="0" xfId="0" applyNumberFormat="1" applyFont="1" applyFill="1" applyBorder="1"/>
    <xf numFmtId="0" fontId="10" fillId="10" borderId="7" xfId="1" applyFont="1" applyFill="1" applyBorder="1"/>
    <xf numFmtId="0" fontId="10" fillId="8" borderId="0" xfId="0" applyFont="1" applyFill="1" applyBorder="1"/>
    <xf numFmtId="2" fontId="10" fillId="8" borderId="0" xfId="0" applyNumberFormat="1" applyFont="1" applyFill="1" applyBorder="1"/>
    <xf numFmtId="0" fontId="10" fillId="8" borderId="7" xfId="1" applyFont="1" applyFill="1" applyBorder="1"/>
    <xf numFmtId="0" fontId="10" fillId="12" borderId="0" xfId="0" applyFont="1" applyFill="1" applyBorder="1"/>
    <xf numFmtId="2" fontId="10" fillId="12" borderId="0" xfId="0" applyNumberFormat="1" applyFont="1" applyFill="1" applyBorder="1"/>
    <xf numFmtId="0" fontId="10" fillId="12" borderId="7" xfId="1" applyFont="1" applyFill="1" applyBorder="1"/>
    <xf numFmtId="0" fontId="10" fillId="11" borderId="0" xfId="0" applyFont="1" applyFill="1" applyBorder="1"/>
    <xf numFmtId="2" fontId="10" fillId="11" borderId="0" xfId="0" applyNumberFormat="1" applyFont="1" applyFill="1" applyBorder="1"/>
    <xf numFmtId="0" fontId="10" fillId="11" borderId="7" xfId="1" applyFont="1" applyFill="1" applyBorder="1"/>
    <xf numFmtId="0" fontId="10" fillId="11" borderId="16" xfId="1" applyFont="1" applyFill="1" applyBorder="1"/>
    <xf numFmtId="0" fontId="10" fillId="11" borderId="17" xfId="1" applyFont="1" applyFill="1" applyBorder="1"/>
    <xf numFmtId="16" fontId="0" fillId="0" borderId="3" xfId="0" applyNumberForma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3" xfId="0" applyBorder="1"/>
    <xf numFmtId="0" fontId="0" fillId="0" borderId="3" xfId="0" applyBorder="1"/>
    <xf numFmtId="164" fontId="0" fillId="0" borderId="4" xfId="0" applyNumberFormat="1" applyBorder="1"/>
    <xf numFmtId="1" fontId="0" fillId="0" borderId="3" xfId="0" applyNumberFormat="1" applyBorder="1"/>
    <xf numFmtId="0" fontId="10" fillId="9" borderId="3" xfId="0" applyFont="1" applyFill="1" applyBorder="1"/>
    <xf numFmtId="0" fontId="10" fillId="9" borderId="4" xfId="0" applyFont="1" applyFill="1" applyBorder="1"/>
    <xf numFmtId="2" fontId="10" fillId="9" borderId="4" xfId="0" applyNumberFormat="1" applyFont="1" applyFill="1" applyBorder="1"/>
    <xf numFmtId="1" fontId="10" fillId="9" borderId="4" xfId="0" applyNumberFormat="1" applyFont="1" applyFill="1" applyBorder="1"/>
    <xf numFmtId="0" fontId="10" fillId="9" borderId="4" xfId="1" applyFont="1" applyFill="1" applyBorder="1"/>
    <xf numFmtId="0" fontId="10" fillId="9" borderId="5" xfId="1" applyFont="1" applyFill="1" applyBorder="1"/>
    <xf numFmtId="0" fontId="10" fillId="9" borderId="4" xfId="2" applyFont="1" applyFill="1" applyBorder="1"/>
    <xf numFmtId="0" fontId="10" fillId="9" borderId="0" xfId="2" applyFont="1" applyFill="1" applyBorder="1"/>
    <xf numFmtId="0" fontId="10" fillId="10" borderId="0" xfId="2" applyFont="1" applyFill="1" applyBorder="1"/>
    <xf numFmtId="0" fontId="10" fillId="8" borderId="0" xfId="2" applyFont="1" applyFill="1" applyBorder="1"/>
    <xf numFmtId="0" fontId="10" fillId="12" borderId="0" xfId="2" applyFont="1" applyFill="1" applyBorder="1"/>
    <xf numFmtId="0" fontId="10" fillId="11" borderId="0" xfId="2" applyFont="1" applyFill="1" applyBorder="1"/>
    <xf numFmtId="0" fontId="10" fillId="11" borderId="16" xfId="2" applyFont="1" applyFill="1" applyBorder="1"/>
    <xf numFmtId="0" fontId="0" fillId="0" borderId="3" xfId="0" applyBorder="1" applyAlignment="1">
      <alignment vertical="top" wrapText="1"/>
    </xf>
    <xf numFmtId="164" fontId="0" fillId="0" borderId="3" xfId="0" applyNumberFormat="1" applyBorder="1"/>
    <xf numFmtId="0" fontId="10" fillId="9" borderId="3" xfId="1" applyFont="1" applyFill="1" applyBorder="1"/>
    <xf numFmtId="0" fontId="10" fillId="9" borderId="6" xfId="1" applyFont="1" applyFill="1" applyBorder="1"/>
    <xf numFmtId="0" fontId="10" fillId="10" borderId="6" xfId="1" applyFont="1" applyFill="1" applyBorder="1"/>
    <xf numFmtId="0" fontId="10" fillId="8" borderId="6" xfId="1" applyFont="1" applyFill="1" applyBorder="1"/>
    <xf numFmtId="0" fontId="10" fillId="12" borderId="6" xfId="1" applyFont="1" applyFill="1" applyBorder="1"/>
    <xf numFmtId="0" fontId="10" fillId="11" borderId="6" xfId="1" applyFont="1" applyFill="1" applyBorder="1"/>
    <xf numFmtId="0" fontId="10" fillId="11" borderId="15" xfId="1" applyFon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Fill="1" applyBorder="1" applyAlignment="1">
      <alignment horizontal="center" vertical="top" wrapText="1"/>
    </xf>
  </cellXfs>
  <cellStyles count="3"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blade!$Z$4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3"/>
            <c:dispRSqr val="0"/>
            <c:dispEq val="0"/>
          </c:trendline>
          <c:xVal>
            <c:numRef>
              <c:f>blade!$Y$5:$Y$10</c:f>
              <c:numCache>
                <c:formatCode>General</c:formatCode>
                <c:ptCount val="6"/>
                <c:pt idx="0">
                  <c:v>4.5999999999999996</c:v>
                </c:pt>
                <c:pt idx="1">
                  <c:v>5.6</c:v>
                </c:pt>
                <c:pt idx="2">
                  <c:v>4.4000000000000004</c:v>
                </c:pt>
                <c:pt idx="3">
                  <c:v>4</c:v>
                </c:pt>
                <c:pt idx="4">
                  <c:v>3.8</c:v>
                </c:pt>
                <c:pt idx="5">
                  <c:v>3.4</c:v>
                </c:pt>
              </c:numCache>
            </c:numRef>
          </c:xVal>
          <c:yVal>
            <c:numRef>
              <c:f>blade!$Z$5:$Z$10</c:f>
              <c:numCache>
                <c:formatCode>General</c:formatCode>
                <c:ptCount val="6"/>
                <c:pt idx="0">
                  <c:v>623</c:v>
                </c:pt>
                <c:pt idx="1">
                  <c:v>846</c:v>
                </c:pt>
                <c:pt idx="2">
                  <c:v>580</c:v>
                </c:pt>
                <c:pt idx="3">
                  <c:v>499</c:v>
                </c:pt>
                <c:pt idx="4">
                  <c:v>460</c:v>
                </c:pt>
                <c:pt idx="5">
                  <c:v>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AD-4962-B396-04F5F6F709C9}"/>
            </c:ext>
          </c:extLst>
        </c:ser>
        <c:ser>
          <c:idx val="1"/>
          <c:order val="1"/>
          <c:tx>
            <c:strRef>
              <c:f>blade!$AA$4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5"/>
            <c:intercept val="0"/>
            <c:dispRSqr val="0"/>
            <c:dispEq val="0"/>
          </c:trendline>
          <c:xVal>
            <c:numRef>
              <c:f>blade!$Y$5:$Y$10</c:f>
              <c:numCache>
                <c:formatCode>General</c:formatCode>
                <c:ptCount val="6"/>
                <c:pt idx="0">
                  <c:v>4.5999999999999996</c:v>
                </c:pt>
                <c:pt idx="1">
                  <c:v>5.6</c:v>
                </c:pt>
                <c:pt idx="2">
                  <c:v>4.4000000000000004</c:v>
                </c:pt>
                <c:pt idx="3">
                  <c:v>4</c:v>
                </c:pt>
                <c:pt idx="4">
                  <c:v>3.8</c:v>
                </c:pt>
                <c:pt idx="5">
                  <c:v>3.4</c:v>
                </c:pt>
              </c:numCache>
            </c:numRef>
          </c:xVal>
          <c:yVal>
            <c:numRef>
              <c:f>blade!$AA$5:$AA$10</c:f>
              <c:numCache>
                <c:formatCode>General</c:formatCode>
                <c:ptCount val="6"/>
                <c:pt idx="0">
                  <c:v>94</c:v>
                </c:pt>
                <c:pt idx="1">
                  <c:v>125</c:v>
                </c:pt>
                <c:pt idx="2">
                  <c:v>84</c:v>
                </c:pt>
                <c:pt idx="3">
                  <c:v>70</c:v>
                </c:pt>
                <c:pt idx="4">
                  <c:v>63</c:v>
                </c:pt>
                <c:pt idx="5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AD-4962-B396-04F5F6F70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436872"/>
        <c:axId val="234442448"/>
      </c:scatterChart>
      <c:valAx>
        <c:axId val="23443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4442448"/>
        <c:crosses val="autoZero"/>
        <c:crossBetween val="midCat"/>
      </c:valAx>
      <c:valAx>
        <c:axId val="23444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4436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564874</xdr:colOff>
      <xdr:row>13</xdr:row>
      <xdr:rowOff>26088</xdr:rowOff>
    </xdr:from>
    <xdr:to>
      <xdr:col>32</xdr:col>
      <xdr:colOff>233569</xdr:colOff>
      <xdr:row>29</xdr:row>
      <xdr:rowOff>94006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F739A-72C3-431A-A452-150CAF504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17318</xdr:colOff>
      <xdr:row>0</xdr:row>
      <xdr:rowOff>181842</xdr:rowOff>
    </xdr:from>
    <xdr:to>
      <xdr:col>16</xdr:col>
      <xdr:colOff>406977</xdr:colOff>
      <xdr:row>20</xdr:row>
      <xdr:rowOff>38288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077CC1-6E1F-4AD8-9D5D-4EBEA0667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5768" y="181842"/>
          <a:ext cx="4656859" cy="3685496"/>
        </a:xfrm>
        <a:prstGeom prst="rect">
          <a:avLst/>
        </a:prstGeom>
      </xdr:spPr>
    </xdr:pic>
    <xdr:clientData/>
  </xdr:twoCellAnchor>
  <xdr:twoCellAnchor editAs="oneCell">
    <xdr:from>
      <xdr:col>8</xdr:col>
      <xdr:colOff>536864</xdr:colOff>
      <xdr:row>20</xdr:row>
      <xdr:rowOff>155863</xdr:rowOff>
    </xdr:from>
    <xdr:to>
      <xdr:col>16</xdr:col>
      <xdr:colOff>476250</xdr:colOff>
      <xdr:row>37</xdr:row>
      <xdr:rowOff>157714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7439B9-4191-4269-A505-D329530B9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5714" y="3984913"/>
          <a:ext cx="4816186" cy="3278451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28</xdr:row>
      <xdr:rowOff>138546</xdr:rowOff>
    </xdr:from>
    <xdr:to>
      <xdr:col>3</xdr:col>
      <xdr:colOff>406978</xdr:colOff>
      <xdr:row>32</xdr:row>
      <xdr:rowOff>103910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3E659A3-8646-4A3C-B678-BC70F41039E5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14:m>
                <m:oMath xmlns:m="http://schemas.openxmlformats.org/officeDocument/2006/math">
                  <m:f>
                    <m:fPr>
                      <m:ctrlPr>
                        <a:rPr lang="it-IT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𝐷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/2</m:t>
                      </m:r>
                    </m:num>
                    <m:den>
                      <m:f>
                        <m:f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3,14</m:t>
                          </m:r>
                        </m:num>
                        <m:den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32</m:t>
                          </m:r>
                        </m:den>
                      </m:f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∗(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−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it-IT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3E659A3-8646-4A3C-B678-BC70F41039E5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:r>
                <a:rPr lang="it-IT" sz="1100" i="0">
                  <a:latin typeface="Cambria Math" panose="02040503050406030204" pitchFamily="18" charset="0"/>
                </a:rPr>
                <a:t>(</a:t>
              </a:r>
              <a:r>
                <a:rPr lang="it-IT" sz="1100" b="0" i="0">
                  <a:latin typeface="Cambria Math" panose="02040503050406030204" pitchFamily="18" charset="0"/>
                </a:rPr>
                <a:t>𝑇∗𝐷/2)/(3,14/32∗(𝐷^4−𝑑^4))</a:t>
              </a:r>
              <a:endParaRPr lang="it-IT" sz="1100"/>
            </a:p>
          </xdr:txBody>
        </xdr:sp>
      </mc:Fallback>
    </mc:AlternateContent>
    <xdr:clientData/>
  </xdr:twoCellAnchor>
  <xdr:twoCellAnchor editAs="oneCell">
    <xdr:from>
      <xdr:col>17</xdr:col>
      <xdr:colOff>415637</xdr:colOff>
      <xdr:row>1</xdr:row>
      <xdr:rowOff>121227</xdr:rowOff>
    </xdr:from>
    <xdr:to>
      <xdr:col>28</xdr:col>
      <xdr:colOff>233851</xdr:colOff>
      <xdr:row>24</xdr:row>
      <xdr:rowOff>169163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A7ACCA-AFAC-4C91-A1A9-20BD7A5F5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40887" y="321252"/>
          <a:ext cx="6523814" cy="44389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17318</xdr:colOff>
      <xdr:row>0</xdr:row>
      <xdr:rowOff>181842</xdr:rowOff>
    </xdr:from>
    <xdr:to>
      <xdr:col>16</xdr:col>
      <xdr:colOff>406977</xdr:colOff>
      <xdr:row>20</xdr:row>
      <xdr:rowOff>38288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88CCA0-C8B8-4653-965D-1589205D7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5768" y="181842"/>
          <a:ext cx="4656859" cy="3685496"/>
        </a:xfrm>
        <a:prstGeom prst="rect">
          <a:avLst/>
        </a:prstGeom>
      </xdr:spPr>
    </xdr:pic>
    <xdr:clientData/>
  </xdr:twoCellAnchor>
  <xdr:twoCellAnchor editAs="oneCell">
    <xdr:from>
      <xdr:col>8</xdr:col>
      <xdr:colOff>536864</xdr:colOff>
      <xdr:row>20</xdr:row>
      <xdr:rowOff>155863</xdr:rowOff>
    </xdr:from>
    <xdr:to>
      <xdr:col>16</xdr:col>
      <xdr:colOff>476250</xdr:colOff>
      <xdr:row>37</xdr:row>
      <xdr:rowOff>157714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F9CC75-5993-4F67-87B1-D114B2028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5714" y="3984913"/>
          <a:ext cx="4816186" cy="3278451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28</xdr:row>
      <xdr:rowOff>138546</xdr:rowOff>
    </xdr:from>
    <xdr:to>
      <xdr:col>3</xdr:col>
      <xdr:colOff>406978</xdr:colOff>
      <xdr:row>32</xdr:row>
      <xdr:rowOff>103910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479E80F-C8F3-4FB5-AC03-1589C5AB623E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14:m>
                <m:oMath xmlns:m="http://schemas.openxmlformats.org/officeDocument/2006/math">
                  <m:f>
                    <m:fPr>
                      <m:ctrlPr>
                        <a:rPr lang="it-IT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𝐷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/2</m:t>
                      </m:r>
                    </m:num>
                    <m:den>
                      <m:f>
                        <m:f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3,14</m:t>
                          </m:r>
                        </m:num>
                        <m:den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32</m:t>
                          </m:r>
                        </m:den>
                      </m:f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∗(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−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it-IT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479E80F-C8F3-4FB5-AC03-1589C5AB623E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:r>
                <a:rPr lang="it-IT" sz="1100" i="0">
                  <a:latin typeface="Cambria Math" panose="02040503050406030204" pitchFamily="18" charset="0"/>
                </a:rPr>
                <a:t>(</a:t>
              </a:r>
              <a:r>
                <a:rPr lang="it-IT" sz="1100" b="0" i="0">
                  <a:latin typeface="Cambria Math" panose="02040503050406030204" pitchFamily="18" charset="0"/>
                </a:rPr>
                <a:t>𝑇∗𝐷/2)/(3,14/32∗(𝐷^4−𝑑^4))</a:t>
              </a:r>
              <a:endParaRPr lang="it-IT" sz="1100"/>
            </a:p>
          </xdr:txBody>
        </xdr:sp>
      </mc:Fallback>
    </mc:AlternateContent>
    <xdr:clientData/>
  </xdr:twoCellAnchor>
  <xdr:twoCellAnchor editAs="oneCell">
    <xdr:from>
      <xdr:col>17</xdr:col>
      <xdr:colOff>415637</xdr:colOff>
      <xdr:row>1</xdr:row>
      <xdr:rowOff>121227</xdr:rowOff>
    </xdr:from>
    <xdr:to>
      <xdr:col>28</xdr:col>
      <xdr:colOff>233851</xdr:colOff>
      <xdr:row>24</xdr:row>
      <xdr:rowOff>169163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71AE01-ACE1-480C-91F3-B60991784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40887" y="321252"/>
          <a:ext cx="6523814" cy="44389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17318</xdr:colOff>
      <xdr:row>0</xdr:row>
      <xdr:rowOff>181842</xdr:rowOff>
    </xdr:from>
    <xdr:to>
      <xdr:col>16</xdr:col>
      <xdr:colOff>406977</xdr:colOff>
      <xdr:row>20</xdr:row>
      <xdr:rowOff>38288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7D142E-E911-49BF-BA74-882A3EBC8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5768" y="181842"/>
          <a:ext cx="4656859" cy="3685496"/>
        </a:xfrm>
        <a:prstGeom prst="rect">
          <a:avLst/>
        </a:prstGeom>
      </xdr:spPr>
    </xdr:pic>
    <xdr:clientData/>
  </xdr:twoCellAnchor>
  <xdr:twoCellAnchor editAs="oneCell">
    <xdr:from>
      <xdr:col>8</xdr:col>
      <xdr:colOff>536864</xdr:colOff>
      <xdr:row>20</xdr:row>
      <xdr:rowOff>155863</xdr:rowOff>
    </xdr:from>
    <xdr:to>
      <xdr:col>16</xdr:col>
      <xdr:colOff>476250</xdr:colOff>
      <xdr:row>37</xdr:row>
      <xdr:rowOff>157714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B2C491-4FCC-4E66-B162-4BE90C291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5714" y="3984913"/>
          <a:ext cx="4816186" cy="3278451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28</xdr:row>
      <xdr:rowOff>138546</xdr:rowOff>
    </xdr:from>
    <xdr:to>
      <xdr:col>3</xdr:col>
      <xdr:colOff>406978</xdr:colOff>
      <xdr:row>32</xdr:row>
      <xdr:rowOff>103910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F35E1CF-357E-4C71-98B8-7113029F840A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14:m>
                <m:oMath xmlns:m="http://schemas.openxmlformats.org/officeDocument/2006/math">
                  <m:f>
                    <m:fPr>
                      <m:ctrlPr>
                        <a:rPr lang="it-IT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𝐷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/2</m:t>
                      </m:r>
                    </m:num>
                    <m:den>
                      <m:f>
                        <m:f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3,14</m:t>
                          </m:r>
                        </m:num>
                        <m:den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32</m:t>
                          </m:r>
                        </m:den>
                      </m:f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∗(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−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it-IT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F35E1CF-357E-4C71-98B8-7113029F840A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:r>
                <a:rPr lang="it-IT" sz="1100" i="0">
                  <a:latin typeface="Cambria Math" panose="02040503050406030204" pitchFamily="18" charset="0"/>
                </a:rPr>
                <a:t>(</a:t>
              </a:r>
              <a:r>
                <a:rPr lang="it-IT" sz="1100" b="0" i="0">
                  <a:latin typeface="Cambria Math" panose="02040503050406030204" pitchFamily="18" charset="0"/>
                </a:rPr>
                <a:t>𝑇∗𝐷/2)/(3,14/32∗(𝐷^4−𝑑^4))</a:t>
              </a:r>
              <a:endParaRPr lang="it-IT" sz="1100"/>
            </a:p>
          </xdr:txBody>
        </xdr:sp>
      </mc:Fallback>
    </mc:AlternateContent>
    <xdr:clientData/>
  </xdr:twoCellAnchor>
  <xdr:twoCellAnchor editAs="oneCell">
    <xdr:from>
      <xdr:col>17</xdr:col>
      <xdr:colOff>415637</xdr:colOff>
      <xdr:row>1</xdr:row>
      <xdr:rowOff>121227</xdr:rowOff>
    </xdr:from>
    <xdr:to>
      <xdr:col>28</xdr:col>
      <xdr:colOff>233851</xdr:colOff>
      <xdr:row>24</xdr:row>
      <xdr:rowOff>169163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E6E673-09C6-4717-A0A4-A81AA6A68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40887" y="321252"/>
          <a:ext cx="6523814" cy="44389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17318</xdr:colOff>
      <xdr:row>0</xdr:row>
      <xdr:rowOff>181842</xdr:rowOff>
    </xdr:from>
    <xdr:to>
      <xdr:col>16</xdr:col>
      <xdr:colOff>406977</xdr:colOff>
      <xdr:row>20</xdr:row>
      <xdr:rowOff>38288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977AE0-ECF6-450B-A4E1-9FB9906C2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5768" y="181842"/>
          <a:ext cx="4656859" cy="3685496"/>
        </a:xfrm>
        <a:prstGeom prst="rect">
          <a:avLst/>
        </a:prstGeom>
      </xdr:spPr>
    </xdr:pic>
    <xdr:clientData/>
  </xdr:twoCellAnchor>
  <xdr:twoCellAnchor editAs="oneCell">
    <xdr:from>
      <xdr:col>8</xdr:col>
      <xdr:colOff>536864</xdr:colOff>
      <xdr:row>20</xdr:row>
      <xdr:rowOff>155863</xdr:rowOff>
    </xdr:from>
    <xdr:to>
      <xdr:col>16</xdr:col>
      <xdr:colOff>476250</xdr:colOff>
      <xdr:row>37</xdr:row>
      <xdr:rowOff>157714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6D8DC0-C5E5-4031-9A92-CEE8659A0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5714" y="3984913"/>
          <a:ext cx="4816186" cy="3278451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28</xdr:row>
      <xdr:rowOff>138546</xdr:rowOff>
    </xdr:from>
    <xdr:to>
      <xdr:col>3</xdr:col>
      <xdr:colOff>406978</xdr:colOff>
      <xdr:row>32</xdr:row>
      <xdr:rowOff>103910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06994CC-54B0-4E32-9F4E-3E17DB65E2C0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14:m>
                <m:oMath xmlns:m="http://schemas.openxmlformats.org/officeDocument/2006/math">
                  <m:f>
                    <m:fPr>
                      <m:ctrlPr>
                        <a:rPr lang="it-IT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𝐷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/2</m:t>
                      </m:r>
                    </m:num>
                    <m:den>
                      <m:f>
                        <m:f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3,14</m:t>
                          </m:r>
                        </m:num>
                        <m:den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32</m:t>
                          </m:r>
                        </m:den>
                      </m:f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∗(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−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it-IT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06994CC-54B0-4E32-9F4E-3E17DB65E2C0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:r>
                <a:rPr lang="it-IT" sz="1100" i="0">
                  <a:latin typeface="Cambria Math" panose="02040503050406030204" pitchFamily="18" charset="0"/>
                </a:rPr>
                <a:t>(</a:t>
              </a:r>
              <a:r>
                <a:rPr lang="it-IT" sz="1100" b="0" i="0">
                  <a:latin typeface="Cambria Math" panose="02040503050406030204" pitchFamily="18" charset="0"/>
                </a:rPr>
                <a:t>𝑇∗𝐷/2)/(3,14/32∗(𝐷^4−𝑑^4))</a:t>
              </a:r>
              <a:endParaRPr lang="it-IT" sz="1100"/>
            </a:p>
          </xdr:txBody>
        </xdr:sp>
      </mc:Fallback>
    </mc:AlternateContent>
    <xdr:clientData/>
  </xdr:twoCellAnchor>
  <xdr:twoCellAnchor editAs="oneCell">
    <xdr:from>
      <xdr:col>17</xdr:col>
      <xdr:colOff>415637</xdr:colOff>
      <xdr:row>1</xdr:row>
      <xdr:rowOff>121227</xdr:rowOff>
    </xdr:from>
    <xdr:to>
      <xdr:col>28</xdr:col>
      <xdr:colOff>233851</xdr:colOff>
      <xdr:row>24</xdr:row>
      <xdr:rowOff>169163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657D0F-7ED4-4110-9E6B-C18B3C857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40887" y="321252"/>
          <a:ext cx="6523814" cy="443896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17318</xdr:colOff>
      <xdr:row>0</xdr:row>
      <xdr:rowOff>181842</xdr:rowOff>
    </xdr:from>
    <xdr:to>
      <xdr:col>16</xdr:col>
      <xdr:colOff>406977</xdr:colOff>
      <xdr:row>20</xdr:row>
      <xdr:rowOff>38288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B067A6-4F1E-451D-8E4C-21AF2A2D1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5768" y="181842"/>
          <a:ext cx="4656859" cy="3685496"/>
        </a:xfrm>
        <a:prstGeom prst="rect">
          <a:avLst/>
        </a:prstGeom>
      </xdr:spPr>
    </xdr:pic>
    <xdr:clientData/>
  </xdr:twoCellAnchor>
  <xdr:twoCellAnchor editAs="oneCell">
    <xdr:from>
      <xdr:col>8</xdr:col>
      <xdr:colOff>536864</xdr:colOff>
      <xdr:row>20</xdr:row>
      <xdr:rowOff>155863</xdr:rowOff>
    </xdr:from>
    <xdr:to>
      <xdr:col>16</xdr:col>
      <xdr:colOff>476250</xdr:colOff>
      <xdr:row>37</xdr:row>
      <xdr:rowOff>157714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89E84E-1A40-47EC-BC2E-13BB3DDCB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5714" y="3984913"/>
          <a:ext cx="4816186" cy="3278451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28</xdr:row>
      <xdr:rowOff>138546</xdr:rowOff>
    </xdr:from>
    <xdr:to>
      <xdr:col>3</xdr:col>
      <xdr:colOff>406978</xdr:colOff>
      <xdr:row>32</xdr:row>
      <xdr:rowOff>103910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1E1776C-CB11-4DB9-8488-562B3296BC81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14:m>
                <m:oMath xmlns:m="http://schemas.openxmlformats.org/officeDocument/2006/math">
                  <m:f>
                    <m:fPr>
                      <m:ctrlPr>
                        <a:rPr lang="it-IT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𝐷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/2</m:t>
                      </m:r>
                    </m:num>
                    <m:den>
                      <m:f>
                        <m:f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3,14</m:t>
                          </m:r>
                        </m:num>
                        <m:den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32</m:t>
                          </m:r>
                        </m:den>
                      </m:f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∗(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−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it-IT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1E1776C-CB11-4DB9-8488-562B3296BC81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:r>
                <a:rPr lang="it-IT" sz="1100" i="0">
                  <a:latin typeface="Cambria Math" panose="02040503050406030204" pitchFamily="18" charset="0"/>
                </a:rPr>
                <a:t>(</a:t>
              </a:r>
              <a:r>
                <a:rPr lang="it-IT" sz="1100" b="0" i="0">
                  <a:latin typeface="Cambria Math" panose="02040503050406030204" pitchFamily="18" charset="0"/>
                </a:rPr>
                <a:t>𝑇∗𝐷/2)/(3,14/32∗(𝐷^4−𝑑^4))</a:t>
              </a:r>
              <a:endParaRPr lang="it-IT" sz="1100"/>
            </a:p>
          </xdr:txBody>
        </xdr:sp>
      </mc:Fallback>
    </mc:AlternateContent>
    <xdr:clientData/>
  </xdr:twoCellAnchor>
  <xdr:twoCellAnchor editAs="oneCell">
    <xdr:from>
      <xdr:col>17</xdr:col>
      <xdr:colOff>415637</xdr:colOff>
      <xdr:row>1</xdr:row>
      <xdr:rowOff>121227</xdr:rowOff>
    </xdr:from>
    <xdr:to>
      <xdr:col>28</xdr:col>
      <xdr:colOff>233851</xdr:colOff>
      <xdr:row>24</xdr:row>
      <xdr:rowOff>169163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884A20-1CCF-465D-B442-D5064DFE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40887" y="321252"/>
          <a:ext cx="6523814" cy="443896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17318</xdr:colOff>
      <xdr:row>0</xdr:row>
      <xdr:rowOff>181842</xdr:rowOff>
    </xdr:from>
    <xdr:to>
      <xdr:col>16</xdr:col>
      <xdr:colOff>406977</xdr:colOff>
      <xdr:row>20</xdr:row>
      <xdr:rowOff>38288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2A61A-B0CC-4BEA-94AD-68DC83F33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5768" y="181842"/>
          <a:ext cx="4656859" cy="3685496"/>
        </a:xfrm>
        <a:prstGeom prst="rect">
          <a:avLst/>
        </a:prstGeom>
      </xdr:spPr>
    </xdr:pic>
    <xdr:clientData/>
  </xdr:twoCellAnchor>
  <xdr:twoCellAnchor editAs="oneCell">
    <xdr:from>
      <xdr:col>8</xdr:col>
      <xdr:colOff>536864</xdr:colOff>
      <xdr:row>20</xdr:row>
      <xdr:rowOff>155863</xdr:rowOff>
    </xdr:from>
    <xdr:to>
      <xdr:col>16</xdr:col>
      <xdr:colOff>476250</xdr:colOff>
      <xdr:row>37</xdr:row>
      <xdr:rowOff>157714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C22D19-CCBE-48EA-9AF2-484A6E496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5714" y="3984913"/>
          <a:ext cx="4816186" cy="3278451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28</xdr:row>
      <xdr:rowOff>138546</xdr:rowOff>
    </xdr:from>
    <xdr:to>
      <xdr:col>3</xdr:col>
      <xdr:colOff>406978</xdr:colOff>
      <xdr:row>32</xdr:row>
      <xdr:rowOff>103910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E1D2FF5-9300-4219-805E-B65419660EC5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14:m>
                <m:oMath xmlns:m="http://schemas.openxmlformats.org/officeDocument/2006/math">
                  <m:f>
                    <m:fPr>
                      <m:ctrlPr>
                        <a:rPr lang="it-IT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𝐷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/2</m:t>
                      </m:r>
                    </m:num>
                    <m:den>
                      <m:f>
                        <m:f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3,14</m:t>
                          </m:r>
                        </m:num>
                        <m:den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32</m:t>
                          </m:r>
                        </m:den>
                      </m:f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∗(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−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it-IT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E1D2FF5-9300-4219-805E-B65419660EC5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:r>
                <a:rPr lang="it-IT" sz="1100" i="0">
                  <a:latin typeface="Cambria Math" panose="02040503050406030204" pitchFamily="18" charset="0"/>
                </a:rPr>
                <a:t>(</a:t>
              </a:r>
              <a:r>
                <a:rPr lang="it-IT" sz="1100" b="0" i="0">
                  <a:latin typeface="Cambria Math" panose="02040503050406030204" pitchFamily="18" charset="0"/>
                </a:rPr>
                <a:t>𝑇∗𝐷/2)/(3,14/32∗(𝐷^4−𝑑^4))</a:t>
              </a:r>
              <a:endParaRPr lang="it-IT" sz="1100"/>
            </a:p>
          </xdr:txBody>
        </xdr:sp>
      </mc:Fallback>
    </mc:AlternateContent>
    <xdr:clientData/>
  </xdr:twoCellAnchor>
  <xdr:twoCellAnchor editAs="oneCell">
    <xdr:from>
      <xdr:col>17</xdr:col>
      <xdr:colOff>415637</xdr:colOff>
      <xdr:row>1</xdr:row>
      <xdr:rowOff>121227</xdr:rowOff>
    </xdr:from>
    <xdr:to>
      <xdr:col>28</xdr:col>
      <xdr:colOff>233851</xdr:colOff>
      <xdr:row>24</xdr:row>
      <xdr:rowOff>169163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6009E1-0710-4C01-9286-5C209421A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40887" y="321252"/>
          <a:ext cx="6523814" cy="44389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17318</xdr:colOff>
      <xdr:row>0</xdr:row>
      <xdr:rowOff>181842</xdr:rowOff>
    </xdr:from>
    <xdr:to>
      <xdr:col>16</xdr:col>
      <xdr:colOff>406977</xdr:colOff>
      <xdr:row>20</xdr:row>
      <xdr:rowOff>38288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2908A-AF19-4ACC-8354-D1EB9CFAA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5768" y="181842"/>
          <a:ext cx="4656859" cy="3685496"/>
        </a:xfrm>
        <a:prstGeom prst="rect">
          <a:avLst/>
        </a:prstGeom>
      </xdr:spPr>
    </xdr:pic>
    <xdr:clientData/>
  </xdr:twoCellAnchor>
  <xdr:twoCellAnchor editAs="oneCell">
    <xdr:from>
      <xdr:col>8</xdr:col>
      <xdr:colOff>536864</xdr:colOff>
      <xdr:row>20</xdr:row>
      <xdr:rowOff>155863</xdr:rowOff>
    </xdr:from>
    <xdr:to>
      <xdr:col>16</xdr:col>
      <xdr:colOff>476250</xdr:colOff>
      <xdr:row>37</xdr:row>
      <xdr:rowOff>157714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1EFEAE-98F1-4620-A0FD-BC066344A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5714" y="3984913"/>
          <a:ext cx="4816186" cy="3278451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28</xdr:row>
      <xdr:rowOff>138546</xdr:rowOff>
    </xdr:from>
    <xdr:to>
      <xdr:col>3</xdr:col>
      <xdr:colOff>406978</xdr:colOff>
      <xdr:row>32</xdr:row>
      <xdr:rowOff>103910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6CEEB21-7DF9-4B92-A2CB-D77769A0DC54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14:m>
                <m:oMath xmlns:m="http://schemas.openxmlformats.org/officeDocument/2006/math">
                  <m:f>
                    <m:fPr>
                      <m:ctrlPr>
                        <a:rPr lang="it-IT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𝐷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/2</m:t>
                      </m:r>
                    </m:num>
                    <m:den>
                      <m:f>
                        <m:f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3,14</m:t>
                          </m:r>
                        </m:num>
                        <m:den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32</m:t>
                          </m:r>
                        </m:den>
                      </m:f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∗(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−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it-IT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6CEEB21-7DF9-4B92-A2CB-D77769A0DC54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:r>
                <a:rPr lang="it-IT" sz="1100" i="0">
                  <a:latin typeface="Cambria Math" panose="02040503050406030204" pitchFamily="18" charset="0"/>
                </a:rPr>
                <a:t>(</a:t>
              </a:r>
              <a:r>
                <a:rPr lang="it-IT" sz="1100" b="0" i="0">
                  <a:latin typeface="Cambria Math" panose="02040503050406030204" pitchFamily="18" charset="0"/>
                </a:rPr>
                <a:t>𝑇∗𝐷/2)/(3,14/32∗(𝐷^4−𝑑^4))</a:t>
              </a:r>
              <a:endParaRPr lang="it-IT" sz="1100"/>
            </a:p>
          </xdr:txBody>
        </xdr:sp>
      </mc:Fallback>
    </mc:AlternateContent>
    <xdr:clientData/>
  </xdr:twoCellAnchor>
  <xdr:twoCellAnchor editAs="oneCell">
    <xdr:from>
      <xdr:col>17</xdr:col>
      <xdr:colOff>415637</xdr:colOff>
      <xdr:row>1</xdr:row>
      <xdr:rowOff>121227</xdr:rowOff>
    </xdr:from>
    <xdr:to>
      <xdr:col>28</xdr:col>
      <xdr:colOff>233851</xdr:colOff>
      <xdr:row>24</xdr:row>
      <xdr:rowOff>169163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622861-6585-4E39-92B8-9946E9813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40887" y="321252"/>
          <a:ext cx="6523814" cy="443896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17318</xdr:colOff>
      <xdr:row>0</xdr:row>
      <xdr:rowOff>181842</xdr:rowOff>
    </xdr:from>
    <xdr:to>
      <xdr:col>16</xdr:col>
      <xdr:colOff>406977</xdr:colOff>
      <xdr:row>20</xdr:row>
      <xdr:rowOff>38288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DAAE38-08E2-4A4A-B6D4-7C2FC0643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5768" y="181842"/>
          <a:ext cx="4656859" cy="3685496"/>
        </a:xfrm>
        <a:prstGeom prst="rect">
          <a:avLst/>
        </a:prstGeom>
      </xdr:spPr>
    </xdr:pic>
    <xdr:clientData/>
  </xdr:twoCellAnchor>
  <xdr:twoCellAnchor editAs="oneCell">
    <xdr:from>
      <xdr:col>8</xdr:col>
      <xdr:colOff>536864</xdr:colOff>
      <xdr:row>20</xdr:row>
      <xdr:rowOff>155863</xdr:rowOff>
    </xdr:from>
    <xdr:to>
      <xdr:col>16</xdr:col>
      <xdr:colOff>476250</xdr:colOff>
      <xdr:row>37</xdr:row>
      <xdr:rowOff>157714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4A29A2-7B51-4E03-83B4-4CE60C89D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5714" y="3984913"/>
          <a:ext cx="4816186" cy="3278451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28</xdr:row>
      <xdr:rowOff>138546</xdr:rowOff>
    </xdr:from>
    <xdr:to>
      <xdr:col>3</xdr:col>
      <xdr:colOff>406978</xdr:colOff>
      <xdr:row>32</xdr:row>
      <xdr:rowOff>103910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66C8FC-A204-4FBF-ADB0-D356843B6B01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14:m>
                <m:oMath xmlns:m="http://schemas.openxmlformats.org/officeDocument/2006/math">
                  <m:f>
                    <m:fPr>
                      <m:ctrlPr>
                        <a:rPr lang="it-IT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𝐷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/2</m:t>
                      </m:r>
                    </m:num>
                    <m:den>
                      <m:f>
                        <m:f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3,14</m:t>
                          </m:r>
                        </m:num>
                        <m:den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32</m:t>
                          </m:r>
                        </m:den>
                      </m:f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∗(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−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it-IT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66C8FC-A204-4FBF-ADB0-D356843B6B01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:r>
                <a:rPr lang="it-IT" sz="1100" i="0">
                  <a:latin typeface="Cambria Math" panose="02040503050406030204" pitchFamily="18" charset="0"/>
                </a:rPr>
                <a:t>(</a:t>
              </a:r>
              <a:r>
                <a:rPr lang="it-IT" sz="1100" b="0" i="0">
                  <a:latin typeface="Cambria Math" panose="02040503050406030204" pitchFamily="18" charset="0"/>
                </a:rPr>
                <a:t>𝑇∗𝐷/2)/(3,14/32∗(𝐷^4−𝑑^4))</a:t>
              </a:r>
              <a:endParaRPr lang="it-IT" sz="1100"/>
            </a:p>
          </xdr:txBody>
        </xdr:sp>
      </mc:Fallback>
    </mc:AlternateContent>
    <xdr:clientData/>
  </xdr:twoCellAnchor>
  <xdr:twoCellAnchor editAs="oneCell">
    <xdr:from>
      <xdr:col>17</xdr:col>
      <xdr:colOff>415637</xdr:colOff>
      <xdr:row>1</xdr:row>
      <xdr:rowOff>121227</xdr:rowOff>
    </xdr:from>
    <xdr:to>
      <xdr:col>28</xdr:col>
      <xdr:colOff>233851</xdr:colOff>
      <xdr:row>24</xdr:row>
      <xdr:rowOff>169163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0BFF49-9167-4A5A-A717-36C2E864F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40887" y="321252"/>
          <a:ext cx="6523814" cy="443896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17318</xdr:colOff>
      <xdr:row>0</xdr:row>
      <xdr:rowOff>181842</xdr:rowOff>
    </xdr:from>
    <xdr:to>
      <xdr:col>16</xdr:col>
      <xdr:colOff>406977</xdr:colOff>
      <xdr:row>20</xdr:row>
      <xdr:rowOff>38288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073299-432E-4415-80CD-7F0F3523B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5768" y="181842"/>
          <a:ext cx="4656859" cy="3685496"/>
        </a:xfrm>
        <a:prstGeom prst="rect">
          <a:avLst/>
        </a:prstGeom>
      </xdr:spPr>
    </xdr:pic>
    <xdr:clientData/>
  </xdr:twoCellAnchor>
  <xdr:twoCellAnchor editAs="oneCell">
    <xdr:from>
      <xdr:col>8</xdr:col>
      <xdr:colOff>536864</xdr:colOff>
      <xdr:row>20</xdr:row>
      <xdr:rowOff>155863</xdr:rowOff>
    </xdr:from>
    <xdr:to>
      <xdr:col>16</xdr:col>
      <xdr:colOff>476250</xdr:colOff>
      <xdr:row>37</xdr:row>
      <xdr:rowOff>157714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C4B383-F01E-488E-85BA-E6263A01C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5714" y="3984913"/>
          <a:ext cx="4816186" cy="3278451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28</xdr:row>
      <xdr:rowOff>138546</xdr:rowOff>
    </xdr:from>
    <xdr:to>
      <xdr:col>3</xdr:col>
      <xdr:colOff>406978</xdr:colOff>
      <xdr:row>32</xdr:row>
      <xdr:rowOff>103910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1DAB1E4-232A-4E22-89FE-16C0AC0F5051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14:m>
                <m:oMath xmlns:m="http://schemas.openxmlformats.org/officeDocument/2006/math">
                  <m:f>
                    <m:fPr>
                      <m:ctrlPr>
                        <a:rPr lang="it-IT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𝐷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/2</m:t>
                      </m:r>
                    </m:num>
                    <m:den>
                      <m:f>
                        <m:f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3,14</m:t>
                          </m:r>
                        </m:num>
                        <m:den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32</m:t>
                          </m:r>
                        </m:den>
                      </m:f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∗(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−</m:t>
                      </m:r>
                      <m:sSup>
                        <m:sSup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e>
                        <m:sup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it-IT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1DAB1E4-232A-4E22-89FE-16C0AC0F5051}"/>
                </a:ext>
              </a:extLst>
            </xdr:cNvPr>
            <xdr:cNvSpPr txBox="1"/>
          </xdr:nvSpPr>
          <xdr:spPr>
            <a:xfrm>
              <a:off x="666750" y="5491596"/>
              <a:ext cx="1483303" cy="7273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tau=</a:t>
              </a:r>
              <a:r>
                <a:rPr lang="it-IT" sz="1100" i="0">
                  <a:latin typeface="Cambria Math" panose="02040503050406030204" pitchFamily="18" charset="0"/>
                </a:rPr>
                <a:t>(</a:t>
              </a:r>
              <a:r>
                <a:rPr lang="it-IT" sz="1100" b="0" i="0">
                  <a:latin typeface="Cambria Math" panose="02040503050406030204" pitchFamily="18" charset="0"/>
                </a:rPr>
                <a:t>𝑇∗𝐷/2)/(3,14/32∗(𝐷^4−𝑑^4))</a:t>
              </a:r>
              <a:endParaRPr lang="it-IT" sz="1100"/>
            </a:p>
          </xdr:txBody>
        </xdr:sp>
      </mc:Fallback>
    </mc:AlternateContent>
    <xdr:clientData/>
  </xdr:twoCellAnchor>
  <xdr:twoCellAnchor editAs="oneCell">
    <xdr:from>
      <xdr:col>17</xdr:col>
      <xdr:colOff>415637</xdr:colOff>
      <xdr:row>1</xdr:row>
      <xdr:rowOff>121227</xdr:rowOff>
    </xdr:from>
    <xdr:to>
      <xdr:col>28</xdr:col>
      <xdr:colOff>233851</xdr:colOff>
      <xdr:row>24</xdr:row>
      <xdr:rowOff>169163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BEAB60-DAB5-4E04-BE1B-E394AF2D8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40887" y="321252"/>
          <a:ext cx="6523814" cy="443896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12433</xdr:colOff>
      <xdr:row>4</xdr:row>
      <xdr:rowOff>124239</xdr:rowOff>
    </xdr:from>
    <xdr:to>
      <xdr:col>27</xdr:col>
      <xdr:colOff>492832</xdr:colOff>
      <xdr:row>20</xdr:row>
      <xdr:rowOff>53612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BC7859-C4A7-4785-958F-04159036E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89085" y="1085022"/>
          <a:ext cx="5748138" cy="2993938"/>
        </a:xfrm>
        <a:prstGeom prst="rect">
          <a:avLst/>
        </a:prstGeom>
      </xdr:spPr>
    </xdr:pic>
    <xdr:clientData/>
  </xdr:twoCellAnchor>
  <xdr:twoCellAnchor>
    <xdr:from>
      <xdr:col>19</xdr:col>
      <xdr:colOff>273327</xdr:colOff>
      <xdr:row>8</xdr:row>
      <xdr:rowOff>149087</xdr:rowOff>
    </xdr:from>
    <xdr:to>
      <xdr:col>20</xdr:col>
      <xdr:colOff>422414</xdr:colOff>
      <xdr:row>10</xdr:row>
      <xdr:rowOff>82826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0022C1C-25E9-4049-8E1B-4B0A5B5C3812}"/>
            </a:ext>
          </a:extLst>
        </xdr:cNvPr>
        <xdr:cNvSpPr/>
      </xdr:nvSpPr>
      <xdr:spPr>
        <a:xfrm>
          <a:off x="12249979" y="1880152"/>
          <a:ext cx="762000" cy="31473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25</xdr:col>
      <xdr:colOff>165652</xdr:colOff>
      <xdr:row>17</xdr:row>
      <xdr:rowOff>66261</xdr:rowOff>
    </xdr:from>
    <xdr:to>
      <xdr:col>27</xdr:col>
      <xdr:colOff>538369</xdr:colOff>
      <xdr:row>19</xdr:row>
      <xdr:rowOff>165652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96E42E-517F-4F4A-816C-AD0565175B9F}"/>
            </a:ext>
          </a:extLst>
        </xdr:cNvPr>
        <xdr:cNvSpPr txBox="1"/>
      </xdr:nvSpPr>
      <xdr:spPr>
        <a:xfrm>
          <a:off x="16101391" y="3520109"/>
          <a:ext cx="1681369" cy="4803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blade thickness indicated dimension</a:t>
          </a:r>
        </a:p>
        <a:p>
          <a:endParaRPr lang="it-IT" sz="1100"/>
        </a:p>
        <a:p>
          <a:endParaRPr lang="it-IT" sz="1100"/>
        </a:p>
        <a:p>
          <a:endParaRPr lang="it-IT" sz="1100"/>
        </a:p>
      </xdr:txBody>
    </xdr:sp>
    <xdr:clientData/>
  </xdr:twoCellAnchor>
  <xdr:twoCellAnchor>
    <xdr:from>
      <xdr:col>23</xdr:col>
      <xdr:colOff>567367</xdr:colOff>
      <xdr:row>18</xdr:row>
      <xdr:rowOff>91109</xdr:rowOff>
    </xdr:from>
    <xdr:to>
      <xdr:col>25</xdr:col>
      <xdr:colOff>103541</xdr:colOff>
      <xdr:row>20</xdr:row>
      <xdr:rowOff>24848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B3C78DB-3D5B-40B4-802C-D8DCD3AC059E}"/>
            </a:ext>
          </a:extLst>
        </xdr:cNvPr>
        <xdr:cNvSpPr/>
      </xdr:nvSpPr>
      <xdr:spPr>
        <a:xfrm>
          <a:off x="15277280" y="3735457"/>
          <a:ext cx="762000" cy="31473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18</xdr:col>
      <xdr:colOff>546654</xdr:colOff>
      <xdr:row>21</xdr:row>
      <xdr:rowOff>179937</xdr:rowOff>
    </xdr:from>
    <xdr:to>
      <xdr:col>30</xdr:col>
      <xdr:colOff>518157</xdr:colOff>
      <xdr:row>34</xdr:row>
      <xdr:rowOff>13607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D4B4D2C-FAF7-4CBB-AECE-30ADB9CDD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10393" y="4395785"/>
          <a:ext cx="7690894" cy="2310170"/>
        </a:xfrm>
        <a:prstGeom prst="rect">
          <a:avLst/>
        </a:prstGeom>
      </xdr:spPr>
    </xdr:pic>
    <xdr:clientData/>
  </xdr:twoCellAnchor>
  <xdr:twoCellAnchor>
    <xdr:from>
      <xdr:col>19</xdr:col>
      <xdr:colOff>132523</xdr:colOff>
      <xdr:row>25</xdr:row>
      <xdr:rowOff>188220</xdr:rowOff>
    </xdr:from>
    <xdr:to>
      <xdr:col>20</xdr:col>
      <xdr:colOff>281610</xdr:colOff>
      <xdr:row>27</xdr:row>
      <xdr:rowOff>121959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530FE0F-C564-4963-A581-72D2C85D6435}"/>
            </a:ext>
          </a:extLst>
        </xdr:cNvPr>
        <xdr:cNvSpPr/>
      </xdr:nvSpPr>
      <xdr:spPr>
        <a:xfrm>
          <a:off x="12109175" y="5166068"/>
          <a:ext cx="762000" cy="31473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24</xdr:col>
      <xdr:colOff>135835</xdr:colOff>
      <xdr:row>22</xdr:row>
      <xdr:rowOff>133555</xdr:rowOff>
    </xdr:from>
    <xdr:to>
      <xdr:col>25</xdr:col>
      <xdr:colOff>284922</xdr:colOff>
      <xdr:row>24</xdr:row>
      <xdr:rowOff>67294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DB9C89A-6971-4183-A261-D87EEE567E87}"/>
            </a:ext>
          </a:extLst>
        </xdr:cNvPr>
        <xdr:cNvSpPr/>
      </xdr:nvSpPr>
      <xdr:spPr>
        <a:xfrm>
          <a:off x="15458661" y="4539903"/>
          <a:ext cx="762000" cy="31473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26</xdr:col>
      <xdr:colOff>74545</xdr:colOff>
      <xdr:row>23</xdr:row>
      <xdr:rowOff>97111</xdr:rowOff>
    </xdr:from>
    <xdr:to>
      <xdr:col>28</xdr:col>
      <xdr:colOff>447262</xdr:colOff>
      <xdr:row>26</xdr:row>
      <xdr:rowOff>6002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B4F79C8-4E16-4484-A761-DFE5AA4C8D40}"/>
            </a:ext>
          </a:extLst>
        </xdr:cNvPr>
        <xdr:cNvSpPr txBox="1"/>
      </xdr:nvSpPr>
      <xdr:spPr>
        <a:xfrm>
          <a:off x="16623197" y="4693959"/>
          <a:ext cx="1681369" cy="4803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blade lenght indicated dimension</a:t>
          </a:r>
        </a:p>
        <a:p>
          <a:endParaRPr lang="it-IT" sz="1100"/>
        </a:p>
        <a:p>
          <a:endParaRPr lang="it-IT" sz="1100"/>
        </a:p>
        <a:p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8D62-07B7-42C2-9665-73D5C008E694}">
  <dimension ref="B1:AA38"/>
  <sheetViews>
    <sheetView zoomScale="115" zoomScaleNormal="115" workbookViewId="0">
      <selection activeCell="F38" sqref="F38"/>
    </sheetView>
  </sheetViews>
  <sheetFormatPr defaultRowHeight="15" x14ac:dyDescent="0.25"/>
  <cols>
    <col min="2" max="2" width="11.42578125" bestFit="1" customWidth="1"/>
    <col min="4" max="4" width="10" customWidth="1"/>
    <col min="5" max="5" width="19.85546875" bestFit="1" customWidth="1"/>
    <col min="6" max="6" width="10.7109375" customWidth="1"/>
    <col min="7" max="7" width="10.28515625" customWidth="1"/>
    <col min="19" max="19" width="13.42578125" bestFit="1" customWidth="1"/>
    <col min="23" max="23" width="10.42578125" bestFit="1" customWidth="1"/>
  </cols>
  <sheetData>
    <row r="1" spans="2:27" ht="15.75" thickBot="1" x14ac:dyDescent="0.3"/>
    <row r="2" spans="2:27" x14ac:dyDescent="0.25">
      <c r="B2" t="s">
        <v>0</v>
      </c>
      <c r="C2">
        <v>14.11</v>
      </c>
      <c r="D2" t="s">
        <v>1</v>
      </c>
      <c r="E2">
        <f>1.33*C2</f>
        <v>18.766300000000001</v>
      </c>
      <c r="O2" s="195" t="s">
        <v>2</v>
      </c>
      <c r="P2" s="196"/>
      <c r="Q2" s="196"/>
      <c r="R2" s="196"/>
      <c r="S2" s="196"/>
      <c r="T2" s="196"/>
      <c r="U2" s="196"/>
      <c r="V2" s="196"/>
      <c r="W2" s="197"/>
    </row>
    <row r="3" spans="2:27" x14ac:dyDescent="0.25">
      <c r="O3" s="1"/>
      <c r="W3" s="2"/>
    </row>
    <row r="4" spans="2:27" s="4" customFormat="1" ht="30.75" thickBot="1" x14ac:dyDescent="0.3">
      <c r="B4" s="3">
        <v>43790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O4" s="5" t="s">
        <v>9</v>
      </c>
      <c r="P4" s="4" t="s">
        <v>10</v>
      </c>
      <c r="Q4" s="4" t="s">
        <v>11</v>
      </c>
      <c r="R4" s="4" t="s">
        <v>12</v>
      </c>
      <c r="S4" s="4" t="s">
        <v>13</v>
      </c>
      <c r="T4" s="4" t="s">
        <v>14</v>
      </c>
      <c r="U4" s="4" t="s">
        <v>15</v>
      </c>
      <c r="V4" s="4" t="s">
        <v>16</v>
      </c>
      <c r="W4" s="6" t="s">
        <v>17</v>
      </c>
      <c r="Z4" s="4">
        <v>0</v>
      </c>
      <c r="AA4" s="4">
        <v>90</v>
      </c>
    </row>
    <row r="5" spans="2:27" ht="15.75" thickBot="1" x14ac:dyDescent="0.3">
      <c r="B5" s="7" t="s">
        <v>18</v>
      </c>
      <c r="C5" s="8">
        <v>1948</v>
      </c>
      <c r="D5" s="9">
        <v>38.92</v>
      </c>
      <c r="E5" s="10">
        <v>0.95315512615403153</v>
      </c>
      <c r="F5" s="9">
        <f>1/E5*D5</f>
        <v>40.832807726735616</v>
      </c>
      <c r="G5" s="11">
        <f>1/(1-E5)*D5</f>
        <v>830.82729879844703</v>
      </c>
      <c r="H5" s="12">
        <f>D5*$C$2</f>
        <v>549.16120000000001</v>
      </c>
      <c r="O5" s="70">
        <v>5.6</v>
      </c>
      <c r="P5" s="71">
        <v>64</v>
      </c>
      <c r="Q5" s="71">
        <v>0</v>
      </c>
      <c r="R5" s="72">
        <v>776</v>
      </c>
      <c r="S5" s="72">
        <f>0.008</f>
        <v>8.0000000000000002E-3</v>
      </c>
      <c r="T5" s="72">
        <f>S5*57.325</f>
        <v>0.45860000000000001</v>
      </c>
      <c r="U5" s="72">
        <f t="shared" ref="U5:U6" si="0">R5/T5/2</f>
        <v>846.05320540776279</v>
      </c>
      <c r="V5" s="73">
        <v>881</v>
      </c>
      <c r="W5" s="74">
        <f>1400/V5</f>
        <v>1.5891032917139614</v>
      </c>
      <c r="Y5">
        <v>4.5999999999999996</v>
      </c>
      <c r="Z5">
        <v>623</v>
      </c>
      <c r="AA5">
        <v>94</v>
      </c>
    </row>
    <row r="6" spans="2:27" x14ac:dyDescent="0.25">
      <c r="O6" s="70">
        <v>5.6</v>
      </c>
      <c r="P6" s="71">
        <v>64</v>
      </c>
      <c r="Q6" s="71">
        <v>90</v>
      </c>
      <c r="R6" s="72">
        <v>564</v>
      </c>
      <c r="S6" s="72">
        <f>0.0394</f>
        <v>3.9399999999999998E-2</v>
      </c>
      <c r="T6" s="72">
        <f t="shared" ref="T6" si="1">S6*57.325</f>
        <v>2.2586049999999998</v>
      </c>
      <c r="U6" s="72">
        <f t="shared" si="0"/>
        <v>124.85582915117962</v>
      </c>
      <c r="V6" s="72">
        <v>1222</v>
      </c>
      <c r="W6" s="74">
        <f>1400/V6</f>
        <v>1.1456628477905073</v>
      </c>
      <c r="Y6">
        <v>5.6</v>
      </c>
      <c r="Z6">
        <v>846</v>
      </c>
      <c r="AA6">
        <v>125</v>
      </c>
    </row>
    <row r="7" spans="2:27" x14ac:dyDescent="0.25">
      <c r="B7" s="13" t="s">
        <v>19</v>
      </c>
      <c r="C7" s="13">
        <v>2700</v>
      </c>
      <c r="D7" s="14">
        <f>$D$5/$C$5*C7</f>
        <v>53.94455852156058</v>
      </c>
      <c r="E7" s="14">
        <v>0.93616028570367926</v>
      </c>
      <c r="F7" s="14">
        <f>1/E7*D7</f>
        <v>57.623207633735845</v>
      </c>
      <c r="G7" s="15">
        <f>1/(1-E7)*D7</f>
        <v>844.99999907846643</v>
      </c>
      <c r="H7" s="15">
        <f>D7*$C$2</f>
        <v>761.15772073921971</v>
      </c>
      <c r="O7" s="75">
        <v>4.5999999999999996</v>
      </c>
      <c r="P7" s="76">
        <v>64</v>
      </c>
      <c r="Q7" s="76">
        <v>0</v>
      </c>
      <c r="R7" s="77">
        <v>592</v>
      </c>
      <c r="S7" s="77">
        <v>8.2799999999999992E-3</v>
      </c>
      <c r="T7" s="77">
        <f>S7*57.325</f>
        <v>0.47465099999999999</v>
      </c>
      <c r="U7" s="77">
        <f>R7/T7/2</f>
        <v>623.61608845235764</v>
      </c>
      <c r="V7" s="77">
        <v>862</v>
      </c>
      <c r="W7" s="78">
        <f>1400/V7</f>
        <v>1.6241299303944317</v>
      </c>
      <c r="Y7">
        <v>4.4000000000000004</v>
      </c>
      <c r="Z7">
        <v>580</v>
      </c>
      <c r="AA7">
        <v>84</v>
      </c>
    </row>
    <row r="8" spans="2:27" x14ac:dyDescent="0.25">
      <c r="B8" s="13" t="s">
        <v>20</v>
      </c>
      <c r="C8" s="13">
        <v>2050</v>
      </c>
      <c r="D8" s="14">
        <f>$D$5/$C$5*C8</f>
        <v>40.957905544147849</v>
      </c>
      <c r="E8" s="14">
        <v>0.71083140334303685</v>
      </c>
      <c r="F8" s="14">
        <f>1/E8*D8</f>
        <v>57.619718756828988</v>
      </c>
      <c r="G8" s="15">
        <f>1/(1-E8)*D8</f>
        <v>141.6402265586801</v>
      </c>
      <c r="H8" s="15">
        <f>D8*$C$2</f>
        <v>577.91604722792613</v>
      </c>
      <c r="O8" s="75">
        <v>4.5999999999999996</v>
      </c>
      <c r="P8" s="76">
        <v>64</v>
      </c>
      <c r="Q8" s="76">
        <v>90</v>
      </c>
      <c r="R8" s="77">
        <v>423</v>
      </c>
      <c r="S8" s="77">
        <f>0.0394</f>
        <v>3.9399999999999998E-2</v>
      </c>
      <c r="T8" s="77">
        <f>S8*57.325</f>
        <v>2.2586049999999998</v>
      </c>
      <c r="U8" s="77">
        <f>R8/T8/2</f>
        <v>93.641871863384708</v>
      </c>
      <c r="V8" s="77">
        <v>1304</v>
      </c>
      <c r="W8" s="79">
        <f>1400/V8</f>
        <v>1.0736196319018405</v>
      </c>
      <c r="Y8">
        <v>4</v>
      </c>
      <c r="Z8">
        <v>499</v>
      </c>
      <c r="AA8">
        <v>70</v>
      </c>
    </row>
    <row r="9" spans="2:27" x14ac:dyDescent="0.25">
      <c r="D9" s="16"/>
      <c r="E9" s="16"/>
      <c r="F9" s="16"/>
      <c r="G9" s="17"/>
      <c r="H9" s="17"/>
      <c r="O9" s="18">
        <v>4.4000000000000004</v>
      </c>
      <c r="P9" s="19">
        <v>64</v>
      </c>
      <c r="Q9" s="19">
        <v>0</v>
      </c>
      <c r="R9" s="20">
        <v>437</v>
      </c>
      <c r="S9" s="20">
        <f>0.006564</f>
        <v>6.5640000000000004E-3</v>
      </c>
      <c r="T9" s="20">
        <f>S9*57.325</f>
        <v>0.37628130000000004</v>
      </c>
      <c r="U9" s="20">
        <f>R9/T9/2</f>
        <v>580.68259039181589</v>
      </c>
      <c r="V9" s="20">
        <v>674</v>
      </c>
      <c r="W9" s="21">
        <f>1400/V9</f>
        <v>2.0771513353115729</v>
      </c>
      <c r="Y9">
        <v>3.8</v>
      </c>
      <c r="Z9">
        <v>460</v>
      </c>
      <c r="AA9">
        <v>63</v>
      </c>
    </row>
    <row r="10" spans="2:27" x14ac:dyDescent="0.25">
      <c r="B10" t="s">
        <v>21</v>
      </c>
      <c r="C10">
        <v>2100</v>
      </c>
      <c r="D10" s="16">
        <f t="shared" ref="D10:D11" si="2">$D$5/$C$5*C10</f>
        <v>41.956878850102676</v>
      </c>
      <c r="E10" s="16">
        <v>0.95034687398170348</v>
      </c>
      <c r="F10" s="16">
        <f t="shared" ref="F10:F11" si="3">1/E10*D10</f>
        <v>44.149015479279036</v>
      </c>
      <c r="G10" s="17">
        <f t="shared" ref="G10:G11" si="4">1/(1-E10)*D10</f>
        <v>844.99974552744413</v>
      </c>
      <c r="H10" s="17">
        <f t="shared" ref="H10:H11" si="5">D10*$C$2</f>
        <v>592.0115605749487</v>
      </c>
      <c r="O10" s="18">
        <v>4.4000000000000004</v>
      </c>
      <c r="P10" s="19">
        <v>64</v>
      </c>
      <c r="Q10" s="19">
        <v>90</v>
      </c>
      <c r="R10" s="20">
        <v>282</v>
      </c>
      <c r="S10" s="20">
        <f>0.02896</f>
        <v>2.896E-2</v>
      </c>
      <c r="T10" s="20">
        <f t="shared" ref="T10:T18" si="6">S10*57.325</f>
        <v>1.6601320000000002</v>
      </c>
      <c r="U10" s="20">
        <f t="shared" ref="U10:U15" si="7">R10/T10/2</f>
        <v>84.933005327287219</v>
      </c>
      <c r="V10" s="20">
        <v>886</v>
      </c>
      <c r="W10" s="21">
        <f t="shared" ref="W10:W18" si="8">1400/V10</f>
        <v>1.5801354401805869</v>
      </c>
      <c r="Y10">
        <v>3.4</v>
      </c>
      <c r="Z10">
        <v>385</v>
      </c>
      <c r="AA10">
        <v>50</v>
      </c>
    </row>
    <row r="11" spans="2:27" x14ac:dyDescent="0.25">
      <c r="B11" t="s">
        <v>22</v>
      </c>
      <c r="C11">
        <v>1667.7201027718779</v>
      </c>
      <c r="D11" s="16">
        <f t="shared" si="2"/>
        <v>33.320157289466884</v>
      </c>
      <c r="E11" s="16">
        <v>0.75470344936504863</v>
      </c>
      <c r="F11" s="16">
        <f t="shared" si="3"/>
        <v>44.149999999999984</v>
      </c>
      <c r="G11" s="17">
        <f t="shared" si="4"/>
        <v>135.83622437093993</v>
      </c>
      <c r="H11" s="17">
        <f t="shared" si="5"/>
        <v>470.14741935437775</v>
      </c>
      <c r="O11" s="80">
        <v>4</v>
      </c>
      <c r="P11" s="81">
        <v>64</v>
      </c>
      <c r="Q11" s="81">
        <v>0</v>
      </c>
      <c r="R11" s="82">
        <v>437</v>
      </c>
      <c r="S11" s="82">
        <v>7.626E-3</v>
      </c>
      <c r="T11" s="82">
        <f t="shared" si="6"/>
        <v>0.43716045000000003</v>
      </c>
      <c r="U11" s="82">
        <f t="shared" si="7"/>
        <v>499.81648614370306</v>
      </c>
      <c r="V11" s="82">
        <v>761</v>
      </c>
      <c r="W11" s="83">
        <f t="shared" si="8"/>
        <v>1.8396846254927726</v>
      </c>
    </row>
    <row r="12" spans="2:27" x14ac:dyDescent="0.25">
      <c r="D12" s="16"/>
      <c r="E12" s="16"/>
      <c r="F12" s="16"/>
      <c r="G12" s="17"/>
      <c r="H12" s="17"/>
      <c r="O12" s="80">
        <v>4</v>
      </c>
      <c r="P12" s="81">
        <v>64</v>
      </c>
      <c r="Q12" s="81">
        <v>90</v>
      </c>
      <c r="R12" s="82">
        <v>282</v>
      </c>
      <c r="S12" s="82">
        <v>3.5310000000000001E-2</v>
      </c>
      <c r="T12" s="82">
        <f t="shared" si="6"/>
        <v>2.0241457500000002</v>
      </c>
      <c r="U12" s="82">
        <f t="shared" si="7"/>
        <v>69.659015414280319</v>
      </c>
      <c r="V12" s="82">
        <v>1028</v>
      </c>
      <c r="W12" s="83">
        <f>1400/V12</f>
        <v>1.3618677042801557</v>
      </c>
    </row>
    <row r="13" spans="2:27" x14ac:dyDescent="0.25">
      <c r="B13" s="22" t="s">
        <v>21</v>
      </c>
      <c r="C13" s="23">
        <v>2100</v>
      </c>
      <c r="D13" s="24">
        <f>$D$5/$C$5*C13</f>
        <v>41.956878850102676</v>
      </c>
      <c r="E13" s="24">
        <v>0.93265348802446091</v>
      </c>
      <c r="F13" s="24">
        <f>1/E13*D13</f>
        <v>44.986567239431444</v>
      </c>
      <c r="G13" s="25">
        <f t="shared" ref="G13:G14" si="9">1/(1-E13)*D13</f>
        <v>623.00002805404119</v>
      </c>
      <c r="H13" s="25">
        <f>D13*$C$2</f>
        <v>592.0115605749487</v>
      </c>
      <c r="O13" s="18">
        <v>3.4</v>
      </c>
      <c r="P13" s="19">
        <v>64</v>
      </c>
      <c r="Q13" s="19">
        <v>0</v>
      </c>
      <c r="R13" s="20">
        <v>296</v>
      </c>
      <c r="S13" s="20">
        <v>6.7029999999999998E-3</v>
      </c>
      <c r="T13" s="20">
        <f>S13*57.325</f>
        <v>0.38424947500000001</v>
      </c>
      <c r="U13" s="20">
        <f>R13/T13/2</f>
        <v>385.16643386435334</v>
      </c>
      <c r="V13" s="20">
        <v>639</v>
      </c>
      <c r="W13" s="21">
        <f>1400/V13</f>
        <v>2.1909233176838812</v>
      </c>
    </row>
    <row r="14" spans="2:27" x14ac:dyDescent="0.25">
      <c r="B14" s="22" t="s">
        <v>22</v>
      </c>
      <c r="C14" s="23">
        <v>1500</v>
      </c>
      <c r="D14" s="24">
        <f>$D$5/$C$5*C14</f>
        <v>29.969199178644768</v>
      </c>
      <c r="E14" s="24">
        <v>0.66613075286236623</v>
      </c>
      <c r="F14" s="24">
        <f>1/E14*D14</f>
        <v>44.989964882820701</v>
      </c>
      <c r="G14" s="25">
        <f t="shared" si="9"/>
        <v>89.76328139108395</v>
      </c>
      <c r="H14" s="25">
        <f>D14*$C$2</f>
        <v>422.86540041067764</v>
      </c>
      <c r="O14" s="18">
        <v>3.4</v>
      </c>
      <c r="P14" s="19">
        <v>64</v>
      </c>
      <c r="Q14" s="19">
        <v>90</v>
      </c>
      <c r="R14" s="20">
        <v>197</v>
      </c>
      <c r="S14" s="20">
        <v>3.4279999999999998E-2</v>
      </c>
      <c r="T14" s="20">
        <f>S14*57.325</f>
        <v>1.965101</v>
      </c>
      <c r="U14" s="20">
        <f>R14/T14/2</f>
        <v>50.124650081598858</v>
      </c>
      <c r="V14" s="20">
        <v>938</v>
      </c>
      <c r="W14" s="21">
        <f>1400/V14</f>
        <v>1.4925373134328359</v>
      </c>
    </row>
    <row r="15" spans="2:27" x14ac:dyDescent="0.25">
      <c r="O15" s="18">
        <v>3.6</v>
      </c>
      <c r="P15" s="19">
        <v>64</v>
      </c>
      <c r="Q15" s="19">
        <v>0</v>
      </c>
      <c r="R15" s="20">
        <v>296</v>
      </c>
      <c r="S15" s="20">
        <v>6.117E-3</v>
      </c>
      <c r="T15" s="20">
        <f t="shared" si="6"/>
        <v>0.35065702500000001</v>
      </c>
      <c r="U15" s="20">
        <f t="shared" si="7"/>
        <v>422.06483671616161</v>
      </c>
      <c r="V15" s="20">
        <v>589</v>
      </c>
      <c r="W15" s="21">
        <f t="shared" si="8"/>
        <v>2.3769100169779285</v>
      </c>
    </row>
    <row r="16" spans="2:27" x14ac:dyDescent="0.25">
      <c r="O16" s="18">
        <v>3</v>
      </c>
      <c r="P16" s="19">
        <v>64</v>
      </c>
      <c r="Q16" s="19">
        <v>0</v>
      </c>
      <c r="R16" s="20"/>
      <c r="S16" s="20"/>
      <c r="T16" s="20"/>
      <c r="U16" s="20"/>
      <c r="V16" s="20"/>
      <c r="W16" s="21"/>
    </row>
    <row r="17" spans="2:23" x14ac:dyDescent="0.25">
      <c r="O17" s="99">
        <v>3</v>
      </c>
      <c r="P17" s="100">
        <v>64</v>
      </c>
      <c r="Q17" s="100">
        <v>90</v>
      </c>
      <c r="R17" s="101">
        <v>197</v>
      </c>
      <c r="S17" s="101">
        <v>4.3839999999999997E-2</v>
      </c>
      <c r="T17" s="101">
        <f t="shared" si="6"/>
        <v>2.513128</v>
      </c>
      <c r="U17" s="101">
        <f t="shared" ref="U17" si="10">R17/T17/2</f>
        <v>39.194183503585968</v>
      </c>
      <c r="V17" s="101">
        <v>1125</v>
      </c>
      <c r="W17" s="102">
        <f t="shared" si="8"/>
        <v>1.2444444444444445</v>
      </c>
    </row>
    <row r="18" spans="2:23" x14ac:dyDescent="0.25">
      <c r="O18" s="99">
        <v>3</v>
      </c>
      <c r="P18" s="100">
        <v>64</v>
      </c>
      <c r="Q18" s="100">
        <v>0</v>
      </c>
      <c r="R18" s="101">
        <v>240</v>
      </c>
      <c r="S18" s="101">
        <v>6.6470000000000001E-3</v>
      </c>
      <c r="T18" s="101">
        <f t="shared" si="6"/>
        <v>0.38103927500000001</v>
      </c>
      <c r="U18" s="101">
        <f t="shared" ref="U18" si="11">R18/T18/2</f>
        <v>314.92816586951568</v>
      </c>
      <c r="V18" s="101">
        <v>609</v>
      </c>
      <c r="W18" s="102">
        <f t="shared" si="8"/>
        <v>2.2988505747126435</v>
      </c>
    </row>
    <row r="19" spans="2:23" x14ac:dyDescent="0.25">
      <c r="O19" s="18">
        <v>3.8</v>
      </c>
      <c r="P19" s="19">
        <v>64</v>
      </c>
      <c r="Q19" s="19">
        <v>0</v>
      </c>
      <c r="R19" s="20">
        <v>296</v>
      </c>
      <c r="S19" s="20">
        <v>5.6140000000000001E-3</v>
      </c>
      <c r="T19" s="20">
        <f t="shared" ref="T19:T26" si="12">S19*57.325</f>
        <v>0.32182255000000004</v>
      </c>
      <c r="U19" s="20">
        <f>R19/T19/2</f>
        <v>459.88076348285716</v>
      </c>
      <c r="V19" s="20">
        <v>551</v>
      </c>
      <c r="W19" s="21">
        <f t="shared" ref="W19:W26" si="13">1400/V19</f>
        <v>2.5408348457350272</v>
      </c>
    </row>
    <row r="20" spans="2:23" x14ac:dyDescent="0.25">
      <c r="O20" s="18">
        <v>3.8</v>
      </c>
      <c r="P20" s="19">
        <v>64</v>
      </c>
      <c r="Q20" s="19">
        <v>90</v>
      </c>
      <c r="R20" s="20">
        <v>197</v>
      </c>
      <c r="S20" s="20">
        <v>2.741E-2</v>
      </c>
      <c r="T20" s="20">
        <f t="shared" si="12"/>
        <v>1.57127825</v>
      </c>
      <c r="U20" s="20">
        <f>R20/T20/2</f>
        <v>62.687814841196968</v>
      </c>
      <c r="V20" s="20">
        <v>776</v>
      </c>
      <c r="W20" s="21">
        <f t="shared" si="13"/>
        <v>1.8041237113402062</v>
      </c>
    </row>
    <row r="21" spans="2:23" x14ac:dyDescent="0.25">
      <c r="O21" s="18">
        <v>5.2</v>
      </c>
      <c r="P21" s="19">
        <v>84</v>
      </c>
      <c r="Q21" s="19">
        <v>0</v>
      </c>
      <c r="R21" s="20">
        <v>296</v>
      </c>
      <c r="S21" s="20">
        <v>3.6129999999999999E-3</v>
      </c>
      <c r="T21" s="20">
        <f t="shared" si="12"/>
        <v>0.20711522500000001</v>
      </c>
      <c r="U21" s="20">
        <f>R21/T21/2</f>
        <v>714.57808087261571</v>
      </c>
      <c r="V21" s="20">
        <v>320</v>
      </c>
      <c r="W21" s="21">
        <f t="shared" si="13"/>
        <v>4.375</v>
      </c>
    </row>
    <row r="22" spans="2:23" x14ac:dyDescent="0.25">
      <c r="O22" s="18">
        <v>5.2</v>
      </c>
      <c r="P22" s="19">
        <v>84</v>
      </c>
      <c r="Q22" s="19">
        <v>90</v>
      </c>
      <c r="R22" s="20">
        <v>197</v>
      </c>
      <c r="S22" s="20">
        <v>1.4200000000000001E-2</v>
      </c>
      <c r="T22" s="20">
        <f t="shared" si="12"/>
        <v>0.81401500000000004</v>
      </c>
      <c r="U22" s="20">
        <f t="shared" ref="U22:U24" si="14">R22/T22/2</f>
        <v>121.00514118290202</v>
      </c>
      <c r="V22" s="20">
        <v>403</v>
      </c>
      <c r="W22" s="21">
        <f t="shared" si="13"/>
        <v>3.4739454094292803</v>
      </c>
    </row>
    <row r="23" spans="2:23" x14ac:dyDescent="0.25">
      <c r="O23" s="18">
        <v>4.5999999999999996</v>
      </c>
      <c r="P23" s="19">
        <v>84</v>
      </c>
      <c r="Q23" s="19">
        <v>0</v>
      </c>
      <c r="R23" s="20">
        <v>296</v>
      </c>
      <c r="S23" s="20">
        <v>4.2979999999999997E-3</v>
      </c>
      <c r="T23" s="20">
        <f t="shared" si="12"/>
        <v>0.24638284999999999</v>
      </c>
      <c r="U23" s="20">
        <f t="shared" si="14"/>
        <v>600.69116011930214</v>
      </c>
      <c r="V23" s="20">
        <v>367</v>
      </c>
      <c r="W23" s="21">
        <f t="shared" si="13"/>
        <v>3.8147138964577656</v>
      </c>
    </row>
    <row r="24" spans="2:23" x14ac:dyDescent="0.25">
      <c r="O24" s="18">
        <v>4.2</v>
      </c>
      <c r="P24" s="19">
        <v>84</v>
      </c>
      <c r="Q24" s="19">
        <v>0</v>
      </c>
      <c r="R24" s="20">
        <v>296</v>
      </c>
      <c r="S24" s="20">
        <v>4.8910000000000004E-3</v>
      </c>
      <c r="T24" s="20">
        <f t="shared" si="12"/>
        <v>0.28037657500000002</v>
      </c>
      <c r="U24" s="20">
        <f t="shared" si="14"/>
        <v>527.86150198175437</v>
      </c>
      <c r="V24" s="20">
        <v>406</v>
      </c>
      <c r="W24" s="21">
        <f t="shared" si="13"/>
        <v>3.4482758620689653</v>
      </c>
    </row>
    <row r="25" spans="2:23" x14ac:dyDescent="0.25">
      <c r="O25" s="18">
        <v>4.2</v>
      </c>
      <c r="P25" s="19">
        <v>84</v>
      </c>
      <c r="Q25" s="19">
        <v>90</v>
      </c>
      <c r="R25" s="20">
        <v>197</v>
      </c>
      <c r="S25" s="20">
        <v>2.154E-2</v>
      </c>
      <c r="T25" s="20">
        <f t="shared" si="12"/>
        <v>1.2347805000000001</v>
      </c>
      <c r="U25" s="20">
        <f>R25/T25/2</f>
        <v>79.771262989656861</v>
      </c>
      <c r="V25" s="20">
        <v>544</v>
      </c>
      <c r="W25" s="21">
        <f t="shared" si="13"/>
        <v>2.5735294117647061</v>
      </c>
    </row>
    <row r="26" spans="2:23" ht="15.75" thickBot="1" x14ac:dyDescent="0.3">
      <c r="O26" s="18">
        <v>3.8</v>
      </c>
      <c r="P26" s="19">
        <v>84</v>
      </c>
      <c r="Q26" s="19">
        <v>90</v>
      </c>
      <c r="R26" s="20">
        <v>197</v>
      </c>
      <c r="S26" s="20">
        <v>2.6040000000000001E-2</v>
      </c>
      <c r="T26" s="20">
        <f t="shared" si="12"/>
        <v>1.4927430000000002</v>
      </c>
      <c r="U26" s="20">
        <f>R26/T26/2</f>
        <v>65.985906482227676</v>
      </c>
      <c r="V26" s="20">
        <v>634</v>
      </c>
      <c r="W26" s="21">
        <f t="shared" si="13"/>
        <v>2.2082018927444795</v>
      </c>
    </row>
    <row r="27" spans="2:23" ht="30.75" thickBot="1" x14ac:dyDescent="0.3">
      <c r="B27" s="26">
        <v>43794</v>
      </c>
      <c r="C27" s="27" t="s">
        <v>3</v>
      </c>
      <c r="D27" s="27" t="s">
        <v>4</v>
      </c>
      <c r="E27" s="27" t="s">
        <v>5</v>
      </c>
      <c r="F27" s="27" t="s">
        <v>6</v>
      </c>
      <c r="G27" s="27" t="s">
        <v>7</v>
      </c>
      <c r="H27" s="28" t="s">
        <v>8</v>
      </c>
    </row>
    <row r="28" spans="2:23" x14ac:dyDescent="0.25">
      <c r="B28" s="1"/>
      <c r="D28" s="16"/>
      <c r="E28" s="16"/>
      <c r="F28" s="16"/>
      <c r="G28" s="17"/>
      <c r="H28" s="30"/>
      <c r="J28" s="29"/>
      <c r="K28" s="29"/>
      <c r="L28" s="31"/>
      <c r="M28" s="31"/>
      <c r="N28" s="31"/>
      <c r="O28" s="32"/>
      <c r="P28" s="32"/>
    </row>
    <row r="29" spans="2:23" x14ac:dyDescent="0.25">
      <c r="B29" s="87" t="s">
        <v>19</v>
      </c>
      <c r="C29" s="84">
        <v>2700</v>
      </c>
      <c r="D29" s="85">
        <f>$D$5/$C$5*C29</f>
        <v>53.94455852156058</v>
      </c>
      <c r="E29" s="85">
        <v>0.93616028570367926</v>
      </c>
      <c r="F29" s="85">
        <f>1/E29*D29</f>
        <v>57.623207633735845</v>
      </c>
      <c r="G29" s="86">
        <f>1/(1-E29)*D29</f>
        <v>844.99999907846643</v>
      </c>
      <c r="H29" s="88">
        <f>D29*$C$2</f>
        <v>761.15772073921971</v>
      </c>
      <c r="J29" s="29"/>
      <c r="K29" s="29"/>
      <c r="L29" s="31"/>
      <c r="M29" s="31"/>
      <c r="N29" s="31"/>
      <c r="O29" s="32"/>
      <c r="P29" s="32"/>
    </row>
    <row r="30" spans="2:23" x14ac:dyDescent="0.25">
      <c r="B30" s="87" t="s">
        <v>20</v>
      </c>
      <c r="C30" s="84">
        <v>1950</v>
      </c>
      <c r="D30" s="85">
        <f>$D$5/$C$5*C30</f>
        <v>38.959958932238195</v>
      </c>
      <c r="E30" s="85">
        <v>0.67614901864193455</v>
      </c>
      <c r="F30" s="85">
        <f>1/E30*D30</f>
        <v>57.620373405984431</v>
      </c>
      <c r="G30" s="86">
        <f>1/(1-E30)*D30</f>
        <v>120.30211787180649</v>
      </c>
      <c r="H30" s="88">
        <f>D30*$C$2</f>
        <v>549.72502053388087</v>
      </c>
    </row>
    <row r="31" spans="2:23" x14ac:dyDescent="0.25">
      <c r="B31" s="89" t="s">
        <v>21</v>
      </c>
      <c r="C31" s="90">
        <v>1950</v>
      </c>
      <c r="D31" s="91">
        <f>$D$5/$C$5*C31</f>
        <v>38.959958932238195</v>
      </c>
      <c r="E31" s="91">
        <v>0.93746402876014967</v>
      </c>
      <c r="F31" s="91">
        <f>1/E31*D31</f>
        <v>41.558884113948338</v>
      </c>
      <c r="G31" s="92">
        <f t="shared" ref="G31:G32" si="15">1/(1-E31)*D31</f>
        <v>623.00078114740154</v>
      </c>
      <c r="H31" s="93">
        <f>D31*$C$2</f>
        <v>549.72502053388087</v>
      </c>
    </row>
    <row r="32" spans="2:23" x14ac:dyDescent="0.25">
      <c r="B32" s="89" t="s">
        <v>22</v>
      </c>
      <c r="C32" s="90">
        <v>1400</v>
      </c>
      <c r="D32" s="91">
        <f t="shared" ref="D32" si="16">$D$5/$C$5*C32</f>
        <v>27.971252566735117</v>
      </c>
      <c r="E32" s="91">
        <v>0.67302785557248457</v>
      </c>
      <c r="F32" s="91">
        <f t="shared" ref="F32" si="17">1/E32*D32</f>
        <v>41.560319287145219</v>
      </c>
      <c r="G32" s="92">
        <f t="shared" si="15"/>
        <v>85.546285955670768</v>
      </c>
      <c r="H32" s="93">
        <f t="shared" ref="H32" si="18">D32*$C$2</f>
        <v>394.67437371663249</v>
      </c>
    </row>
    <row r="33" spans="2:8" x14ac:dyDescent="0.25">
      <c r="B33" s="94" t="s">
        <v>23</v>
      </c>
      <c r="C33" s="95">
        <v>1400</v>
      </c>
      <c r="D33" s="96">
        <f>$D$5/$C$5*C33</f>
        <v>27.971252566735117</v>
      </c>
      <c r="E33" s="96">
        <v>0.94405745932269003</v>
      </c>
      <c r="F33" s="96">
        <f>1/E33*D33</f>
        <v>29.628760718445008</v>
      </c>
      <c r="G33" s="97">
        <f>1/(1-E33)*D33</f>
        <v>499.99968231832781</v>
      </c>
      <c r="H33" s="98">
        <f>D33*$C$2</f>
        <v>394.67437371663249</v>
      </c>
    </row>
    <row r="34" spans="2:8" x14ac:dyDescent="0.25">
      <c r="B34" s="94" t="s">
        <v>24</v>
      </c>
      <c r="C34" s="95">
        <v>1050</v>
      </c>
      <c r="D34" s="96">
        <f t="shared" ref="D34" si="19">$D$5/$C$5*C34</f>
        <v>20.978439425051338</v>
      </c>
      <c r="E34" s="96">
        <v>0.7080135626470333</v>
      </c>
      <c r="F34" s="96">
        <f t="shared" ref="F34" si="20">1/E34*D34</f>
        <v>29.629996559133343</v>
      </c>
      <c r="G34" s="97">
        <f t="shared" ref="G34" si="21">1/(1-E34)*D34</f>
        <v>71.847307755913434</v>
      </c>
      <c r="H34" s="98">
        <f>D34*$C$2</f>
        <v>296.00578028747435</v>
      </c>
    </row>
    <row r="35" spans="2:8" x14ac:dyDescent="0.25">
      <c r="B35" s="94" t="s">
        <v>64</v>
      </c>
      <c r="C35" s="95">
        <v>1050</v>
      </c>
      <c r="D35" s="96">
        <f t="shared" ref="D35:D36" si="22">$D$5/$C$5*C35</f>
        <v>20.978439425051338</v>
      </c>
      <c r="E35" s="96">
        <v>0.95793593939216004</v>
      </c>
      <c r="F35" s="96">
        <f t="shared" ref="F35:F36" si="23">1/E35*D35</f>
        <v>21.899626647647029</v>
      </c>
      <c r="G35" s="97">
        <f t="shared" ref="G35:G36" si="24">1/(1-E35)*D35</f>
        <v>498.72596991126784</v>
      </c>
      <c r="H35" s="98">
        <f t="shared" ref="H35:H36" si="25">D35*$C$2</f>
        <v>296.00578028747435</v>
      </c>
    </row>
    <row r="36" spans="2:8" x14ac:dyDescent="0.25">
      <c r="B36" s="94" t="s">
        <v>26</v>
      </c>
      <c r="C36" s="95">
        <v>850</v>
      </c>
      <c r="D36" s="96">
        <f t="shared" si="22"/>
        <v>16.982546201232037</v>
      </c>
      <c r="E36" s="96">
        <v>0.77547781454567455</v>
      </c>
      <c r="F36" s="96">
        <f t="shared" si="23"/>
        <v>21.899461058317343</v>
      </c>
      <c r="G36" s="97">
        <f t="shared" si="24"/>
        <v>75.638610798605455</v>
      </c>
      <c r="H36" s="98">
        <f t="shared" si="25"/>
        <v>239.62372689938402</v>
      </c>
    </row>
    <row r="37" spans="2:8" x14ac:dyDescent="0.25">
      <c r="B37" s="103" t="s">
        <v>25</v>
      </c>
      <c r="C37" s="104">
        <v>850</v>
      </c>
      <c r="D37" s="105">
        <f>$D$5/$C$5*C37</f>
        <v>16.982546201232037</v>
      </c>
      <c r="E37" s="105">
        <v>0.77549369341007002</v>
      </c>
      <c r="F37" s="105">
        <f>1/E37*D37</f>
        <v>21.899012649032475</v>
      </c>
      <c r="G37" s="106">
        <v>314</v>
      </c>
      <c r="H37" s="107">
        <f>D37*$C$2</f>
        <v>239.62372689938402</v>
      </c>
    </row>
    <row r="38" spans="2:8" ht="15.75" thickBot="1" x14ac:dyDescent="0.3">
      <c r="B38" s="108" t="s">
        <v>26</v>
      </c>
      <c r="C38" s="109">
        <v>700</v>
      </c>
      <c r="D38" s="110">
        <f t="shared" ref="D38" si="26">$D$5/$C$5*C38</f>
        <v>13.985626283367559</v>
      </c>
      <c r="E38" s="110">
        <v>0.63862252245428608</v>
      </c>
      <c r="F38" s="110">
        <f t="shared" ref="F38" si="27">1/E38*D38</f>
        <v>21.899675930030604</v>
      </c>
      <c r="G38" s="111">
        <f t="shared" ref="G38" si="28">1/(1-E38)*D38</f>
        <v>38.700879696074558</v>
      </c>
      <c r="H38" s="112">
        <f>D38*$C$2</f>
        <v>197.33718685831624</v>
      </c>
    </row>
  </sheetData>
  <mergeCells count="1">
    <mergeCell ref="O2:W2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B07B-CE12-4FE2-97D6-6E9FA2AFCD23}">
  <dimension ref="B1:U39"/>
  <sheetViews>
    <sheetView topLeftCell="B4" zoomScale="110" zoomScaleNormal="110" workbookViewId="0">
      <selection activeCell="E37" sqref="E37"/>
    </sheetView>
  </sheetViews>
  <sheetFormatPr defaultRowHeight="15" x14ac:dyDescent="0.25"/>
  <cols>
    <col min="1" max="1" width="4.28515625" customWidth="1"/>
    <col min="2" max="2" width="9.140625" customWidth="1"/>
    <col min="3" max="3" width="12.7109375" customWidth="1"/>
    <col min="6" max="6" width="25.7109375" customWidth="1"/>
    <col min="7" max="7" width="11.28515625" bestFit="1" customWidth="1"/>
  </cols>
  <sheetData>
    <row r="1" spans="2:8" ht="15.75" thickBot="1" x14ac:dyDescent="0.3"/>
    <row r="2" spans="2:8" ht="15.75" thickBot="1" x14ac:dyDescent="0.3">
      <c r="B2" s="33" t="s">
        <v>27</v>
      </c>
      <c r="C2" s="34">
        <v>81000000000</v>
      </c>
      <c r="D2" s="35" t="s">
        <v>28</v>
      </c>
      <c r="F2" s="198" t="s">
        <v>29</v>
      </c>
      <c r="G2" s="199"/>
      <c r="H2" s="200"/>
    </row>
    <row r="3" spans="2:8" x14ac:dyDescent="0.25">
      <c r="B3" t="s">
        <v>30</v>
      </c>
      <c r="C3" s="16"/>
      <c r="D3">
        <v>859</v>
      </c>
      <c r="E3" t="s">
        <v>31</v>
      </c>
      <c r="F3" s="1"/>
      <c r="H3" s="2"/>
    </row>
    <row r="4" spans="2:8" x14ac:dyDescent="0.25">
      <c r="C4" s="36" t="s">
        <v>79</v>
      </c>
      <c r="D4">
        <v>1093</v>
      </c>
      <c r="F4" s="37" t="s">
        <v>32</v>
      </c>
      <c r="G4" s="38">
        <v>130</v>
      </c>
      <c r="H4" s="39" t="s">
        <v>33</v>
      </c>
    </row>
    <row r="5" spans="2:8" x14ac:dyDescent="0.25">
      <c r="F5" s="37" t="s">
        <v>34</v>
      </c>
      <c r="G5" s="40">
        <v>0.06</v>
      </c>
      <c r="H5" s="39" t="s">
        <v>35</v>
      </c>
    </row>
    <row r="6" spans="2:8" x14ac:dyDescent="0.25">
      <c r="F6" s="41" t="s">
        <v>36</v>
      </c>
      <c r="G6" s="42">
        <f>G4*G5*1000</f>
        <v>7800</v>
      </c>
      <c r="H6" s="43" t="s">
        <v>37</v>
      </c>
    </row>
    <row r="7" spans="2:8" x14ac:dyDescent="0.25">
      <c r="F7" s="41"/>
      <c r="G7" s="42"/>
      <c r="H7" s="43"/>
    </row>
    <row r="8" spans="2:8" x14ac:dyDescent="0.25">
      <c r="F8" s="37" t="s">
        <v>38</v>
      </c>
      <c r="G8" s="38">
        <v>1.41</v>
      </c>
      <c r="H8" s="39" t="s">
        <v>39</v>
      </c>
    </row>
    <row r="9" spans="2:8" x14ac:dyDescent="0.25">
      <c r="F9" s="1"/>
      <c r="H9" s="2"/>
    </row>
    <row r="10" spans="2:8" x14ac:dyDescent="0.25">
      <c r="F10" s="1" t="s">
        <v>40</v>
      </c>
      <c r="G10" s="17">
        <v>9129</v>
      </c>
      <c r="H10" s="2" t="s">
        <v>41</v>
      </c>
    </row>
    <row r="11" spans="2:8" x14ac:dyDescent="0.25">
      <c r="F11" s="44" t="s">
        <v>42</v>
      </c>
      <c r="G11" s="45">
        <v>8.48E-2</v>
      </c>
      <c r="H11" s="46" t="s">
        <v>35</v>
      </c>
    </row>
    <row r="12" spans="2:8" x14ac:dyDescent="0.25">
      <c r="F12" s="1" t="s">
        <v>43</v>
      </c>
      <c r="G12" s="17">
        <v>900</v>
      </c>
      <c r="H12" s="2" t="s">
        <v>44</v>
      </c>
    </row>
    <row r="13" spans="2:8" x14ac:dyDescent="0.25">
      <c r="F13" s="1"/>
      <c r="H13" s="2"/>
    </row>
    <row r="14" spans="2:8" x14ac:dyDescent="0.25">
      <c r="F14" s="1"/>
      <c r="H14" s="2"/>
    </row>
    <row r="15" spans="2:8" x14ac:dyDescent="0.25">
      <c r="F15" s="1" t="s">
        <v>45</v>
      </c>
      <c r="G15" s="16">
        <f>ATAN(G5/G8/G11/2)*57.325</f>
        <v>14.092124583151213</v>
      </c>
      <c r="H15" s="2" t="s">
        <v>1</v>
      </c>
    </row>
    <row r="16" spans="2:8" x14ac:dyDescent="0.25">
      <c r="F16" s="1"/>
      <c r="H16" s="2"/>
    </row>
    <row r="17" spans="6:21" x14ac:dyDescent="0.25">
      <c r="F17" s="47" t="s">
        <v>46</v>
      </c>
      <c r="G17" s="48">
        <f>G12/G15</f>
        <v>63.865458660226118</v>
      </c>
      <c r="H17" s="49" t="s">
        <v>47</v>
      </c>
    </row>
    <row r="18" spans="6:21" x14ac:dyDescent="0.25">
      <c r="F18" s="1" t="s">
        <v>48</v>
      </c>
      <c r="G18" s="17">
        <f>G17*57.325</f>
        <v>3661.0874176974626</v>
      </c>
      <c r="H18" s="2" t="s">
        <v>49</v>
      </c>
    </row>
    <row r="19" spans="6:21" x14ac:dyDescent="0.25">
      <c r="F19" s="1"/>
      <c r="H19" s="2"/>
    </row>
    <row r="20" spans="6:21" x14ac:dyDescent="0.25">
      <c r="F20" s="44" t="s">
        <v>50</v>
      </c>
      <c r="G20" s="45">
        <v>0.96599999999999997</v>
      </c>
      <c r="H20" s="46" t="s">
        <v>35</v>
      </c>
    </row>
    <row r="21" spans="6:21" x14ac:dyDescent="0.25">
      <c r="F21" s="1"/>
      <c r="H21" s="2"/>
    </row>
    <row r="22" spans="6:21" x14ac:dyDescent="0.25">
      <c r="F22" s="47" t="s">
        <v>51</v>
      </c>
      <c r="G22" s="50">
        <f>(32*G18*G20/(3.14*$C$2))^(1/4)*1000</f>
        <v>25.827396757239523</v>
      </c>
      <c r="H22" s="51" t="s">
        <v>52</v>
      </c>
      <c r="U22" s="52"/>
    </row>
    <row r="23" spans="6:21" x14ac:dyDescent="0.25">
      <c r="F23" s="1"/>
      <c r="H23" s="2"/>
    </row>
    <row r="24" spans="6:21" x14ac:dyDescent="0.25">
      <c r="F24" s="47" t="s">
        <v>53</v>
      </c>
      <c r="G24">
        <f>G12*G22/1000/2/(3.14/32*(G22/1000)^4)</f>
        <v>266189512.899382</v>
      </c>
      <c r="H24" s="2" t="s">
        <v>28</v>
      </c>
    </row>
    <row r="25" spans="6:21" x14ac:dyDescent="0.25">
      <c r="F25" s="1"/>
      <c r="G25" s="53">
        <f>G24/1000000</f>
        <v>266.18951289938201</v>
      </c>
      <c r="H25" s="51" t="s">
        <v>31</v>
      </c>
    </row>
    <row r="26" spans="6:21" x14ac:dyDescent="0.25">
      <c r="F26" s="1"/>
      <c r="H26" s="2"/>
    </row>
    <row r="27" spans="6:21" x14ac:dyDescent="0.25">
      <c r="F27" s="1"/>
      <c r="H27" s="2"/>
    </row>
    <row r="28" spans="6:21" x14ac:dyDescent="0.25">
      <c r="F28" s="54" t="s">
        <v>54</v>
      </c>
      <c r="G28" s="55"/>
      <c r="H28" s="56"/>
      <c r="U28" s="52"/>
    </row>
    <row r="29" spans="6:21" x14ac:dyDescent="0.25">
      <c r="F29" s="54" t="s">
        <v>55</v>
      </c>
      <c r="G29" s="55">
        <v>30</v>
      </c>
      <c r="H29" s="56" t="s">
        <v>52</v>
      </c>
    </row>
    <row r="30" spans="6:21" x14ac:dyDescent="0.25">
      <c r="F30" s="54" t="s">
        <v>56</v>
      </c>
      <c r="G30" s="55">
        <v>26</v>
      </c>
      <c r="H30" s="56" t="s">
        <v>52</v>
      </c>
    </row>
    <row r="31" spans="6:21" x14ac:dyDescent="0.25">
      <c r="F31" s="54"/>
      <c r="G31" s="55"/>
      <c r="H31" s="56"/>
    </row>
    <row r="32" spans="6:21" x14ac:dyDescent="0.25">
      <c r="F32" s="54" t="s">
        <v>57</v>
      </c>
      <c r="G32" s="57">
        <f>3.14*((G29/1000)^4-(G30/1000)^4)*$C$2/(32*G20*57.325)</f>
        <v>50.669629685811259</v>
      </c>
      <c r="H32" s="58" t="s">
        <v>47</v>
      </c>
    </row>
    <row r="33" spans="4:8" x14ac:dyDescent="0.25">
      <c r="F33" s="54"/>
      <c r="G33" s="55"/>
      <c r="H33" s="56"/>
    </row>
    <row r="34" spans="4:8" ht="15.75" thickBot="1" x14ac:dyDescent="0.3">
      <c r="F34" s="59" t="s">
        <v>53</v>
      </c>
      <c r="G34" s="60">
        <f>16*G12*G29/1000/(3.14*((G29/1000)^4-(G30/1000)^4))/1000000</f>
        <v>389.71746349935097</v>
      </c>
      <c r="H34" s="61" t="s">
        <v>31</v>
      </c>
    </row>
    <row r="35" spans="4:8" ht="15.75" thickBot="1" x14ac:dyDescent="0.3">
      <c r="D35" t="s">
        <v>81</v>
      </c>
      <c r="E35">
        <f>G35/G34</f>
        <v>0.99187241066666687</v>
      </c>
      <c r="F35" s="62" t="s">
        <v>59</v>
      </c>
      <c r="G35" s="63">
        <f>0.45*D3</f>
        <v>386.55</v>
      </c>
      <c r="H35" s="64" t="s">
        <v>31</v>
      </c>
    </row>
    <row r="36" spans="4:8" ht="15.75" thickBot="1" x14ac:dyDescent="0.3">
      <c r="D36" t="s">
        <v>82</v>
      </c>
      <c r="E36">
        <f>0.45*D4/G34</f>
        <v>1.262068154666667</v>
      </c>
      <c r="F36" s="201" t="s">
        <v>60</v>
      </c>
      <c r="G36" s="202"/>
      <c r="H36" s="203"/>
    </row>
    <row r="37" spans="4:8" ht="15.75" thickBot="1" x14ac:dyDescent="0.3"/>
    <row r="38" spans="4:8" x14ac:dyDescent="0.25">
      <c r="F38" s="65" t="s">
        <v>61</v>
      </c>
      <c r="G38" s="66">
        <f>3.14*(G22/1000)^2/4*G20*7800</f>
        <v>3.9455055096534184</v>
      </c>
      <c r="H38" s="67" t="s">
        <v>62</v>
      </c>
    </row>
    <row r="39" spans="4:8" ht="15.75" thickBot="1" x14ac:dyDescent="0.3">
      <c r="F39" s="62" t="s">
        <v>63</v>
      </c>
      <c r="G39" s="68">
        <f>3.14*((G29/1000)^2-(G30/1000)^2)/4*G20*7800</f>
        <v>1.3249192320000003</v>
      </c>
      <c r="H39" s="69" t="s">
        <v>62</v>
      </c>
    </row>
  </sheetData>
  <mergeCells count="2">
    <mergeCell ref="F2:H2"/>
    <mergeCell ref="F36:H3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9CA4-3B52-4A42-B65E-0146568FDEA1}">
  <dimension ref="B1:U39"/>
  <sheetViews>
    <sheetView topLeftCell="B7" zoomScale="110" zoomScaleNormal="110" workbookViewId="0">
      <selection activeCell="G13" sqref="G13"/>
    </sheetView>
  </sheetViews>
  <sheetFormatPr defaultRowHeight="15" x14ac:dyDescent="0.25"/>
  <cols>
    <col min="1" max="1" width="4.28515625" customWidth="1"/>
    <col min="2" max="2" width="9.140625" customWidth="1"/>
    <col min="3" max="3" width="12.7109375" customWidth="1"/>
    <col min="6" max="6" width="25.7109375" customWidth="1"/>
    <col min="7" max="7" width="11.28515625" bestFit="1" customWidth="1"/>
  </cols>
  <sheetData>
    <row r="1" spans="2:8" ht="15.75" thickBot="1" x14ac:dyDescent="0.3"/>
    <row r="2" spans="2:8" ht="15.75" thickBot="1" x14ac:dyDescent="0.3">
      <c r="B2" s="33" t="s">
        <v>27</v>
      </c>
      <c r="C2" s="34">
        <v>81000000000</v>
      </c>
      <c r="D2" s="35" t="s">
        <v>28</v>
      </c>
      <c r="F2" s="198" t="s">
        <v>29</v>
      </c>
      <c r="G2" s="199"/>
      <c r="H2" s="200"/>
    </row>
    <row r="3" spans="2:8" x14ac:dyDescent="0.25">
      <c r="B3" t="s">
        <v>30</v>
      </c>
      <c r="C3" s="16"/>
      <c r="D3">
        <v>859</v>
      </c>
      <c r="E3" t="s">
        <v>31</v>
      </c>
      <c r="F3" s="1"/>
      <c r="H3" s="2"/>
    </row>
    <row r="4" spans="2:8" x14ac:dyDescent="0.25">
      <c r="C4" s="36" t="s">
        <v>79</v>
      </c>
      <c r="D4">
        <v>1093</v>
      </c>
      <c r="F4" s="37" t="s">
        <v>32</v>
      </c>
      <c r="G4" s="38">
        <v>130</v>
      </c>
      <c r="H4" s="39" t="s">
        <v>33</v>
      </c>
    </row>
    <row r="5" spans="2:8" x14ac:dyDescent="0.25">
      <c r="F5" s="37" t="s">
        <v>34</v>
      </c>
      <c r="G5" s="40">
        <v>0.06</v>
      </c>
      <c r="H5" s="39" t="s">
        <v>35</v>
      </c>
    </row>
    <row r="6" spans="2:8" x14ac:dyDescent="0.25">
      <c r="F6" s="41" t="s">
        <v>36</v>
      </c>
      <c r="G6" s="42">
        <f>G4*G5*1000</f>
        <v>7800</v>
      </c>
      <c r="H6" s="43" t="s">
        <v>37</v>
      </c>
    </row>
    <row r="7" spans="2:8" x14ac:dyDescent="0.25">
      <c r="F7" s="41"/>
      <c r="G7" s="42"/>
      <c r="H7" s="43"/>
    </row>
    <row r="8" spans="2:8" x14ac:dyDescent="0.25">
      <c r="F8" s="37" t="s">
        <v>38</v>
      </c>
      <c r="G8" s="38">
        <v>1.41</v>
      </c>
      <c r="H8" s="39" t="s">
        <v>39</v>
      </c>
    </row>
    <row r="9" spans="2:8" x14ac:dyDescent="0.25">
      <c r="F9" s="1"/>
      <c r="H9" s="2"/>
    </row>
    <row r="10" spans="2:8" x14ac:dyDescent="0.25">
      <c r="F10" s="1" t="s">
        <v>40</v>
      </c>
      <c r="G10" s="17">
        <v>9129</v>
      </c>
      <c r="H10" s="2" t="s">
        <v>41</v>
      </c>
    </row>
    <row r="11" spans="2:8" x14ac:dyDescent="0.25">
      <c r="F11" s="44" t="s">
        <v>42</v>
      </c>
      <c r="G11" s="45">
        <v>8.48E-2</v>
      </c>
      <c r="H11" s="46" t="s">
        <v>35</v>
      </c>
    </row>
    <row r="12" spans="2:8" x14ac:dyDescent="0.25">
      <c r="F12" s="1" t="s">
        <v>43</v>
      </c>
      <c r="G12" s="17">
        <v>676.6</v>
      </c>
      <c r="H12" s="2" t="s">
        <v>44</v>
      </c>
    </row>
    <row r="13" spans="2:8" x14ac:dyDescent="0.25">
      <c r="F13" s="1"/>
      <c r="H13" s="2"/>
    </row>
    <row r="14" spans="2:8" x14ac:dyDescent="0.25">
      <c r="F14" s="1"/>
      <c r="H14" s="2"/>
    </row>
    <row r="15" spans="2:8" x14ac:dyDescent="0.25">
      <c r="F15" s="1" t="s">
        <v>45</v>
      </c>
      <c r="G15" s="16">
        <f>ATAN(G5/G8/G11/2)*57.325</f>
        <v>14.092124583151213</v>
      </c>
      <c r="H15" s="2" t="s">
        <v>1</v>
      </c>
    </row>
    <row r="16" spans="2:8" x14ac:dyDescent="0.25">
      <c r="F16" s="1"/>
      <c r="H16" s="2"/>
    </row>
    <row r="17" spans="6:21" x14ac:dyDescent="0.25">
      <c r="F17" s="47" t="s">
        <v>46</v>
      </c>
      <c r="G17" s="48">
        <f>G12/G15</f>
        <v>48.012632588343322</v>
      </c>
      <c r="H17" s="49" t="s">
        <v>47</v>
      </c>
    </row>
    <row r="18" spans="6:21" x14ac:dyDescent="0.25">
      <c r="F18" s="1" t="s">
        <v>48</v>
      </c>
      <c r="G18" s="17">
        <f>G17*57.325</f>
        <v>2752.3241631267811</v>
      </c>
      <c r="H18" s="2" t="s">
        <v>49</v>
      </c>
    </row>
    <row r="19" spans="6:21" x14ac:dyDescent="0.25">
      <c r="F19" s="1"/>
      <c r="H19" s="2"/>
    </row>
    <row r="20" spans="6:21" x14ac:dyDescent="0.25">
      <c r="F20" s="44" t="s">
        <v>50</v>
      </c>
      <c r="G20" s="45">
        <v>0.96599999999999997</v>
      </c>
      <c r="H20" s="46" t="s">
        <v>35</v>
      </c>
    </row>
    <row r="21" spans="6:21" x14ac:dyDescent="0.25">
      <c r="F21" s="1"/>
      <c r="H21" s="2"/>
    </row>
    <row r="22" spans="6:21" x14ac:dyDescent="0.25">
      <c r="F22" s="47" t="s">
        <v>51</v>
      </c>
      <c r="G22" s="50">
        <f>(32*G18*G20/(3.14*$C$2))^(1/4)*1000</f>
        <v>24.049331300025123</v>
      </c>
      <c r="H22" s="51" t="s">
        <v>52</v>
      </c>
      <c r="U22" s="52"/>
    </row>
    <row r="23" spans="6:21" x14ac:dyDescent="0.25">
      <c r="F23" s="1"/>
      <c r="H23" s="2"/>
    </row>
    <row r="24" spans="6:21" x14ac:dyDescent="0.25">
      <c r="F24" s="47" t="s">
        <v>53</v>
      </c>
      <c r="G24">
        <f>G12*G22/1000/2/(3.14/32*(G22/1000)^4)</f>
        <v>247863919.25137174</v>
      </c>
      <c r="H24" s="2" t="s">
        <v>28</v>
      </c>
    </row>
    <row r="25" spans="6:21" x14ac:dyDescent="0.25">
      <c r="F25" s="1"/>
      <c r="G25" s="53">
        <f>G24/1000000</f>
        <v>247.86391925137175</v>
      </c>
      <c r="H25" s="51" t="s">
        <v>31</v>
      </c>
    </row>
    <row r="26" spans="6:21" x14ac:dyDescent="0.25">
      <c r="F26" s="1"/>
      <c r="H26" s="2"/>
    </row>
    <row r="27" spans="6:21" x14ac:dyDescent="0.25">
      <c r="F27" s="1"/>
      <c r="H27" s="2"/>
    </row>
    <row r="28" spans="6:21" x14ac:dyDescent="0.25">
      <c r="F28" s="54" t="s">
        <v>54</v>
      </c>
      <c r="G28" s="55"/>
      <c r="H28" s="56"/>
      <c r="U28" s="52"/>
    </row>
    <row r="29" spans="6:21" x14ac:dyDescent="0.25">
      <c r="F29" s="54" t="s">
        <v>55</v>
      </c>
      <c r="G29" s="55">
        <v>30</v>
      </c>
      <c r="H29" s="56" t="s">
        <v>52</v>
      </c>
    </row>
    <row r="30" spans="6:21" x14ac:dyDescent="0.25">
      <c r="F30" s="54" t="s">
        <v>56</v>
      </c>
      <c r="G30" s="55">
        <v>26</v>
      </c>
      <c r="H30" s="56" t="s">
        <v>52</v>
      </c>
    </row>
    <row r="31" spans="6:21" x14ac:dyDescent="0.25">
      <c r="F31" s="54"/>
      <c r="G31" s="55"/>
      <c r="H31" s="56"/>
    </row>
    <row r="32" spans="6:21" x14ac:dyDescent="0.25">
      <c r="F32" s="54" t="s">
        <v>57</v>
      </c>
      <c r="G32" s="57">
        <f>3.14*((G29/1000)^4-(G30/1000)^4)*$C$2/(32*G20*57.325)</f>
        <v>50.669629685811259</v>
      </c>
      <c r="H32" s="58" t="s">
        <v>47</v>
      </c>
    </row>
    <row r="33" spans="4:8" x14ac:dyDescent="0.25">
      <c r="F33" s="54"/>
      <c r="G33" s="55"/>
      <c r="H33" s="56"/>
    </row>
    <row r="34" spans="4:8" ht="15.75" thickBot="1" x14ac:dyDescent="0.3">
      <c r="F34" s="59" t="s">
        <v>53</v>
      </c>
      <c r="G34" s="60">
        <f>16*G12*G29/1000/(3.14*((G29/1000)^4-(G30/1000)^4))/1000000</f>
        <v>292.98092867073427</v>
      </c>
      <c r="H34" s="61" t="s">
        <v>31</v>
      </c>
    </row>
    <row r="35" spans="4:8" ht="15.75" thickBot="1" x14ac:dyDescent="0.3">
      <c r="D35" t="s">
        <v>81</v>
      </c>
      <c r="E35">
        <f>G35/G34</f>
        <v>1.3193691540053212</v>
      </c>
      <c r="F35" s="62" t="s">
        <v>59</v>
      </c>
      <c r="G35" s="63">
        <f>0.45*D3</f>
        <v>386.55</v>
      </c>
      <c r="H35" s="64" t="s">
        <v>31</v>
      </c>
    </row>
    <row r="36" spans="4:8" ht="15.75" thickBot="1" x14ac:dyDescent="0.3">
      <c r="D36" t="s">
        <v>82</v>
      </c>
      <c r="E36">
        <f>0.45*D4/G34</f>
        <v>1.678778213420042</v>
      </c>
      <c r="F36" s="201" t="s">
        <v>60</v>
      </c>
      <c r="G36" s="202"/>
      <c r="H36" s="203"/>
    </row>
    <row r="37" spans="4:8" ht="15.75" thickBot="1" x14ac:dyDescent="0.3"/>
    <row r="38" spans="4:8" x14ac:dyDescent="0.25">
      <c r="F38" s="65" t="s">
        <v>61</v>
      </c>
      <c r="G38" s="66">
        <f>3.14*(G22/1000)^2/4*G20*7800</f>
        <v>3.4209552739108995</v>
      </c>
      <c r="H38" s="67" t="s">
        <v>62</v>
      </c>
    </row>
    <row r="39" spans="4:8" ht="15.75" thickBot="1" x14ac:dyDescent="0.3">
      <c r="F39" s="62" t="s">
        <v>63</v>
      </c>
      <c r="G39" s="68">
        <f>3.14*((G29/1000)^2-(G30/1000)^2)/4*G20*7800</f>
        <v>1.3249192320000003</v>
      </c>
      <c r="H39" s="69" t="s">
        <v>62</v>
      </c>
    </row>
  </sheetData>
  <mergeCells count="2">
    <mergeCell ref="F2:H2"/>
    <mergeCell ref="F36:H3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50DF-3772-4DAC-8010-AD08E32673A8}">
  <dimension ref="B1:U39"/>
  <sheetViews>
    <sheetView topLeftCell="B10" zoomScale="110" zoomScaleNormal="110" workbookViewId="0">
      <selection activeCell="E39" sqref="E39"/>
    </sheetView>
  </sheetViews>
  <sheetFormatPr defaultRowHeight="15" x14ac:dyDescent="0.25"/>
  <cols>
    <col min="1" max="1" width="4.28515625" customWidth="1"/>
    <col min="2" max="2" width="9.140625" customWidth="1"/>
    <col min="3" max="3" width="12.7109375" customWidth="1"/>
    <col min="6" max="6" width="25.7109375" customWidth="1"/>
    <col min="7" max="7" width="11.28515625" bestFit="1" customWidth="1"/>
  </cols>
  <sheetData>
    <row r="1" spans="2:8" ht="15.75" thickBot="1" x14ac:dyDescent="0.3"/>
    <row r="2" spans="2:8" ht="15.75" thickBot="1" x14ac:dyDescent="0.3">
      <c r="B2" s="33" t="s">
        <v>27</v>
      </c>
      <c r="C2" s="34">
        <v>81000000000</v>
      </c>
      <c r="D2" s="35" t="s">
        <v>28</v>
      </c>
      <c r="F2" s="198" t="s">
        <v>29</v>
      </c>
      <c r="G2" s="199"/>
      <c r="H2" s="200"/>
    </row>
    <row r="3" spans="2:8" x14ac:dyDescent="0.25">
      <c r="B3" t="s">
        <v>30</v>
      </c>
      <c r="C3" s="16"/>
      <c r="D3">
        <v>790</v>
      </c>
      <c r="E3" t="s">
        <v>31</v>
      </c>
      <c r="F3" s="1"/>
      <c r="H3" s="2"/>
    </row>
    <row r="4" spans="2:8" x14ac:dyDescent="0.25">
      <c r="C4" s="36"/>
      <c r="F4" s="37" t="s">
        <v>32</v>
      </c>
      <c r="G4" s="38">
        <v>130</v>
      </c>
      <c r="H4" s="39" t="s">
        <v>33</v>
      </c>
    </row>
    <row r="5" spans="2:8" x14ac:dyDescent="0.25">
      <c r="F5" s="37" t="s">
        <v>34</v>
      </c>
      <c r="G5" s="40">
        <v>0.06</v>
      </c>
      <c r="H5" s="39" t="s">
        <v>35</v>
      </c>
    </row>
    <row r="6" spans="2:8" x14ac:dyDescent="0.25">
      <c r="F6" s="41" t="s">
        <v>36</v>
      </c>
      <c r="G6" s="42">
        <f>G4*G5*1000</f>
        <v>7800</v>
      </c>
      <c r="H6" s="43" t="s">
        <v>37</v>
      </c>
    </row>
    <row r="7" spans="2:8" x14ac:dyDescent="0.25">
      <c r="F7" s="41"/>
      <c r="G7" s="42"/>
      <c r="H7" s="43"/>
    </row>
    <row r="8" spans="2:8" x14ac:dyDescent="0.25">
      <c r="F8" s="37" t="s">
        <v>38</v>
      </c>
      <c r="G8" s="38">
        <v>1.41</v>
      </c>
      <c r="H8" s="39" t="s">
        <v>39</v>
      </c>
    </row>
    <row r="9" spans="2:8" x14ac:dyDescent="0.25">
      <c r="F9" s="1"/>
      <c r="H9" s="2"/>
    </row>
    <row r="10" spans="2:8" x14ac:dyDescent="0.25">
      <c r="F10" s="1" t="s">
        <v>40</v>
      </c>
      <c r="G10" s="17">
        <v>9129</v>
      </c>
      <c r="H10" s="2" t="s">
        <v>41</v>
      </c>
    </row>
    <row r="11" spans="2:8" x14ac:dyDescent="0.25">
      <c r="F11" s="44" t="s">
        <v>42</v>
      </c>
      <c r="G11" s="45">
        <v>8.48E-2</v>
      </c>
      <c r="H11" s="46" t="s">
        <v>35</v>
      </c>
    </row>
    <row r="12" spans="2:8" x14ac:dyDescent="0.25">
      <c r="F12" s="1" t="s">
        <v>43</v>
      </c>
      <c r="G12" s="17">
        <v>729</v>
      </c>
      <c r="H12" s="2" t="s">
        <v>44</v>
      </c>
    </row>
    <row r="13" spans="2:8" x14ac:dyDescent="0.25">
      <c r="F13" s="1"/>
      <c r="H13" s="2"/>
    </row>
    <row r="14" spans="2:8" x14ac:dyDescent="0.25">
      <c r="F14" s="1"/>
      <c r="H14" s="2"/>
    </row>
    <row r="15" spans="2:8" x14ac:dyDescent="0.25">
      <c r="F15" s="1" t="s">
        <v>45</v>
      </c>
      <c r="G15" s="16">
        <f>ATAN(G5/G8/G11/2)*57.325</f>
        <v>14.092124583151213</v>
      </c>
      <c r="H15" s="2" t="s">
        <v>1</v>
      </c>
    </row>
    <row r="16" spans="2:8" x14ac:dyDescent="0.25">
      <c r="F16" s="1"/>
      <c r="H16" s="2"/>
    </row>
    <row r="17" spans="6:21" x14ac:dyDescent="0.25">
      <c r="F17" s="47" t="s">
        <v>46</v>
      </c>
      <c r="G17" s="48">
        <f>G12/G15</f>
        <v>51.731021514783158</v>
      </c>
      <c r="H17" s="49" t="s">
        <v>47</v>
      </c>
    </row>
    <row r="18" spans="6:21" x14ac:dyDescent="0.25">
      <c r="F18" s="1" t="s">
        <v>48</v>
      </c>
      <c r="G18" s="17">
        <f>G17*57.325</f>
        <v>2965.4808083349449</v>
      </c>
      <c r="H18" s="2" t="s">
        <v>49</v>
      </c>
    </row>
    <row r="19" spans="6:21" x14ac:dyDescent="0.25">
      <c r="F19" s="1"/>
      <c r="H19" s="2"/>
    </row>
    <row r="20" spans="6:21" x14ac:dyDescent="0.25">
      <c r="F20" s="44" t="s">
        <v>50</v>
      </c>
      <c r="G20" s="45">
        <v>0.96599999999999997</v>
      </c>
      <c r="H20" s="46" t="s">
        <v>35</v>
      </c>
    </row>
    <row r="21" spans="6:21" x14ac:dyDescent="0.25">
      <c r="F21" s="1"/>
      <c r="H21" s="2"/>
    </row>
    <row r="22" spans="6:21" x14ac:dyDescent="0.25">
      <c r="F22" s="47" t="s">
        <v>51</v>
      </c>
      <c r="G22" s="50">
        <f>(32*G18*G20/(3.14*$C$2))^(1/4)*1000</f>
        <v>24.502019935717129</v>
      </c>
      <c r="H22" s="51" t="s">
        <v>52</v>
      </c>
      <c r="U22" s="52"/>
    </row>
    <row r="23" spans="6:21" x14ac:dyDescent="0.25">
      <c r="F23" s="1"/>
      <c r="H23" s="2"/>
    </row>
    <row r="24" spans="6:21" x14ac:dyDescent="0.25">
      <c r="F24" s="47" t="s">
        <v>53</v>
      </c>
      <c r="G24">
        <f>G12*G22/1000/2/(3.14/32*(G22/1000)^4)</f>
        <v>252529545.00384575</v>
      </c>
      <c r="H24" s="2" t="s">
        <v>28</v>
      </c>
    </row>
    <row r="25" spans="6:21" x14ac:dyDescent="0.25">
      <c r="F25" s="1"/>
      <c r="G25" s="53">
        <f>G24/1000000</f>
        <v>252.52954500384575</v>
      </c>
      <c r="H25" s="51" t="s">
        <v>31</v>
      </c>
    </row>
    <row r="26" spans="6:21" x14ac:dyDescent="0.25">
      <c r="F26" s="1"/>
      <c r="H26" s="2"/>
    </row>
    <row r="27" spans="6:21" x14ac:dyDescent="0.25">
      <c r="F27" s="1"/>
      <c r="H27" s="2"/>
    </row>
    <row r="28" spans="6:21" x14ac:dyDescent="0.25">
      <c r="F28" s="54" t="s">
        <v>54</v>
      </c>
      <c r="G28" s="55"/>
      <c r="H28" s="56"/>
      <c r="U28" s="52"/>
    </row>
    <row r="29" spans="6:21" x14ac:dyDescent="0.25">
      <c r="F29" s="54" t="s">
        <v>55</v>
      </c>
      <c r="G29" s="55">
        <v>28</v>
      </c>
      <c r="H29" s="56" t="s">
        <v>52</v>
      </c>
    </row>
    <row r="30" spans="6:21" x14ac:dyDescent="0.25">
      <c r="F30" s="54" t="s">
        <v>56</v>
      </c>
      <c r="G30" s="55">
        <v>24</v>
      </c>
      <c r="H30" s="56" t="s">
        <v>52</v>
      </c>
    </row>
    <row r="31" spans="6:21" x14ac:dyDescent="0.25">
      <c r="F31" s="54"/>
      <c r="G31" s="55"/>
      <c r="H31" s="56"/>
    </row>
    <row r="32" spans="6:21" x14ac:dyDescent="0.25">
      <c r="F32" s="54" t="s">
        <v>57</v>
      </c>
      <c r="G32" s="57">
        <f>3.14*((G29/1000)^4-(G30/1000)^4)*$C$2/(32*G20*57.325)</f>
        <v>40.601842496607304</v>
      </c>
      <c r="H32" s="58" t="s">
        <v>47</v>
      </c>
    </row>
    <row r="33" spans="4:8" x14ac:dyDescent="0.25">
      <c r="F33" s="54"/>
      <c r="G33" s="55"/>
      <c r="H33" s="56"/>
    </row>
    <row r="34" spans="4:8" ht="15.75" thickBot="1" x14ac:dyDescent="0.3">
      <c r="F34" s="59" t="s">
        <v>53</v>
      </c>
      <c r="G34" s="60">
        <f>16*G12*G29/1000/(3.14*((G29/1000)^4-(G30/1000)^4))/1000000</f>
        <v>367.68308499293863</v>
      </c>
      <c r="H34" s="61" t="s">
        <v>31</v>
      </c>
    </row>
    <row r="35" spans="4:8" ht="15.75" thickBot="1" x14ac:dyDescent="0.3">
      <c r="D35" t="s">
        <v>81</v>
      </c>
      <c r="E35">
        <f>G35/G34</f>
        <v>0.96686525573192306</v>
      </c>
      <c r="F35" s="62" t="s">
        <v>59</v>
      </c>
      <c r="G35" s="63">
        <f>0.45*D3</f>
        <v>355.5</v>
      </c>
      <c r="H35" s="64" t="s">
        <v>31</v>
      </c>
    </row>
    <row r="36" spans="4:8" ht="15.75" thickBot="1" x14ac:dyDescent="0.3">
      <c r="D36" t="s">
        <v>82</v>
      </c>
      <c r="E36">
        <f>0.45*D4/G34</f>
        <v>0</v>
      </c>
      <c r="F36" s="201" t="s">
        <v>60</v>
      </c>
      <c r="G36" s="202"/>
      <c r="H36" s="203"/>
    </row>
    <row r="37" spans="4:8" ht="15.75" thickBot="1" x14ac:dyDescent="0.3"/>
    <row r="38" spans="4:8" x14ac:dyDescent="0.25">
      <c r="F38" s="65" t="s">
        <v>61</v>
      </c>
      <c r="G38" s="66">
        <f>3.14*(G22/1000)^2/4*G20*7800</f>
        <v>3.5509549586880746</v>
      </c>
      <c r="H38" s="67" t="s">
        <v>62</v>
      </c>
    </row>
    <row r="39" spans="4:8" ht="15.75" thickBot="1" x14ac:dyDescent="0.3">
      <c r="F39" s="62" t="s">
        <v>63</v>
      </c>
      <c r="G39" s="68">
        <f>3.14*((G29/1000)^2-(G30/1000)^2)/4*G20*7800</f>
        <v>1.2302821440000005</v>
      </c>
      <c r="H39" s="69" t="s">
        <v>62</v>
      </c>
    </row>
  </sheetData>
  <mergeCells count="2">
    <mergeCell ref="F2:H2"/>
    <mergeCell ref="F36:H3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0F87-B33B-43A2-8618-A028B2C0C791}">
  <dimension ref="B1:U39"/>
  <sheetViews>
    <sheetView topLeftCell="B1" zoomScale="110" zoomScaleNormal="110" workbookViewId="0">
      <selection activeCell="C10" sqref="C10"/>
    </sheetView>
  </sheetViews>
  <sheetFormatPr defaultRowHeight="15" x14ac:dyDescent="0.25"/>
  <cols>
    <col min="1" max="1" width="4.28515625" customWidth="1"/>
    <col min="2" max="2" width="9.140625" customWidth="1"/>
    <col min="3" max="3" width="12.7109375" customWidth="1"/>
    <col min="6" max="6" width="25.7109375" customWidth="1"/>
    <col min="7" max="7" width="11.28515625" bestFit="1" customWidth="1"/>
  </cols>
  <sheetData>
    <row r="1" spans="2:8" ht="15.75" thickBot="1" x14ac:dyDescent="0.3"/>
    <row r="2" spans="2:8" ht="15.75" thickBot="1" x14ac:dyDescent="0.3">
      <c r="B2" s="33" t="s">
        <v>27</v>
      </c>
      <c r="C2" s="34">
        <v>81000000000</v>
      </c>
      <c r="D2" s="35" t="s">
        <v>28</v>
      </c>
      <c r="F2" s="198" t="s">
        <v>29</v>
      </c>
      <c r="G2" s="199"/>
      <c r="H2" s="200"/>
    </row>
    <row r="3" spans="2:8" x14ac:dyDescent="0.25">
      <c r="B3" t="s">
        <v>30</v>
      </c>
      <c r="C3" s="16"/>
      <c r="D3">
        <v>790</v>
      </c>
      <c r="E3" t="s">
        <v>31</v>
      </c>
      <c r="F3" s="1"/>
      <c r="H3" s="2"/>
    </row>
    <row r="4" spans="2:8" x14ac:dyDescent="0.25">
      <c r="C4" s="36"/>
      <c r="F4" s="37" t="s">
        <v>32</v>
      </c>
      <c r="G4" s="38">
        <v>130</v>
      </c>
      <c r="H4" s="39" t="s">
        <v>33</v>
      </c>
    </row>
    <row r="5" spans="2:8" x14ac:dyDescent="0.25">
      <c r="F5" s="37" t="s">
        <v>34</v>
      </c>
      <c r="G5" s="40">
        <v>0.06</v>
      </c>
      <c r="H5" s="39" t="s">
        <v>35</v>
      </c>
    </row>
    <row r="6" spans="2:8" x14ac:dyDescent="0.25">
      <c r="F6" s="41" t="s">
        <v>36</v>
      </c>
      <c r="G6" s="42">
        <f>G4*G5*1000</f>
        <v>7800</v>
      </c>
      <c r="H6" s="43" t="s">
        <v>37</v>
      </c>
    </row>
    <row r="7" spans="2:8" x14ac:dyDescent="0.25">
      <c r="F7" s="41"/>
      <c r="G7" s="42"/>
      <c r="H7" s="43"/>
    </row>
    <row r="8" spans="2:8" x14ac:dyDescent="0.25">
      <c r="F8" s="37" t="s">
        <v>38</v>
      </c>
      <c r="G8" s="38">
        <v>1.41</v>
      </c>
      <c r="H8" s="39" t="s">
        <v>39</v>
      </c>
    </row>
    <row r="9" spans="2:8" x14ac:dyDescent="0.25">
      <c r="F9" s="1"/>
      <c r="H9" s="2"/>
    </row>
    <row r="10" spans="2:8" x14ac:dyDescent="0.25">
      <c r="F10" s="1" t="s">
        <v>40</v>
      </c>
      <c r="G10" s="17">
        <v>9129</v>
      </c>
      <c r="H10" s="2" t="s">
        <v>41</v>
      </c>
    </row>
    <row r="11" spans="2:8" x14ac:dyDescent="0.25">
      <c r="F11" s="44" t="s">
        <v>42</v>
      </c>
      <c r="G11" s="45">
        <v>8.48E-2</v>
      </c>
      <c r="H11" s="46" t="s">
        <v>35</v>
      </c>
    </row>
    <row r="12" spans="2:8" x14ac:dyDescent="0.25">
      <c r="F12" s="1" t="s">
        <v>43</v>
      </c>
      <c r="G12" s="17">
        <v>547.70000000000005</v>
      </c>
      <c r="H12" s="2" t="s">
        <v>44</v>
      </c>
    </row>
    <row r="13" spans="2:8" x14ac:dyDescent="0.25">
      <c r="F13" s="1"/>
      <c r="H13" s="2"/>
    </row>
    <row r="14" spans="2:8" x14ac:dyDescent="0.25">
      <c r="F14" s="1"/>
      <c r="H14" s="2"/>
    </row>
    <row r="15" spans="2:8" x14ac:dyDescent="0.25">
      <c r="F15" s="1" t="s">
        <v>45</v>
      </c>
      <c r="G15" s="16">
        <f>ATAN(G5/G8/G11/2)*57.325</f>
        <v>14.092124583151213</v>
      </c>
      <c r="H15" s="2" t="s">
        <v>1</v>
      </c>
    </row>
    <row r="16" spans="2:8" x14ac:dyDescent="0.25">
      <c r="F16" s="1"/>
      <c r="H16" s="2"/>
    </row>
    <row r="17" spans="6:21" x14ac:dyDescent="0.25">
      <c r="F17" s="47" t="s">
        <v>46</v>
      </c>
      <c r="G17" s="48">
        <f>G12/G15</f>
        <v>38.865679675784278</v>
      </c>
      <c r="H17" s="49" t="s">
        <v>47</v>
      </c>
    </row>
    <row r="18" spans="6:21" x14ac:dyDescent="0.25">
      <c r="F18" s="1" t="s">
        <v>48</v>
      </c>
      <c r="G18" s="17">
        <f>G17*57.325</f>
        <v>2227.9750874143338</v>
      </c>
      <c r="H18" s="2" t="s">
        <v>49</v>
      </c>
    </row>
    <row r="19" spans="6:21" x14ac:dyDescent="0.25">
      <c r="F19" s="1"/>
      <c r="H19" s="2"/>
    </row>
    <row r="20" spans="6:21" x14ac:dyDescent="0.25">
      <c r="F20" s="44" t="s">
        <v>50</v>
      </c>
      <c r="G20" s="45">
        <v>0.96599999999999997</v>
      </c>
      <c r="H20" s="46" t="s">
        <v>35</v>
      </c>
    </row>
    <row r="21" spans="6:21" x14ac:dyDescent="0.25">
      <c r="F21" s="1"/>
      <c r="H21" s="2"/>
    </row>
    <row r="22" spans="6:21" x14ac:dyDescent="0.25">
      <c r="F22" s="47" t="s">
        <v>51</v>
      </c>
      <c r="G22" s="50">
        <f>(32*G18*G20/(3.14*$C$2))^(1/4)*1000</f>
        <v>22.811597078827894</v>
      </c>
      <c r="H22" s="51" t="s">
        <v>52</v>
      </c>
      <c r="U22" s="52"/>
    </row>
    <row r="23" spans="6:21" x14ac:dyDescent="0.25">
      <c r="F23" s="1"/>
      <c r="H23" s="2"/>
    </row>
    <row r="24" spans="6:21" x14ac:dyDescent="0.25">
      <c r="F24" s="47" t="s">
        <v>53</v>
      </c>
      <c r="G24">
        <f>G12*G22/1000/2/(3.14/32*(G22/1000)^4)</f>
        <v>235107237.94368124</v>
      </c>
      <c r="H24" s="2" t="s">
        <v>28</v>
      </c>
    </row>
    <row r="25" spans="6:21" x14ac:dyDescent="0.25">
      <c r="F25" s="1"/>
      <c r="G25" s="53">
        <f>G24/1000000</f>
        <v>235.10723794368124</v>
      </c>
      <c r="H25" s="51" t="s">
        <v>31</v>
      </c>
    </row>
    <row r="26" spans="6:21" x14ac:dyDescent="0.25">
      <c r="F26" s="1"/>
      <c r="H26" s="2"/>
    </row>
    <row r="27" spans="6:21" x14ac:dyDescent="0.25">
      <c r="F27" s="1"/>
      <c r="H27" s="2"/>
    </row>
    <row r="28" spans="6:21" x14ac:dyDescent="0.25">
      <c r="F28" s="54" t="s">
        <v>54</v>
      </c>
      <c r="G28" s="55"/>
      <c r="H28" s="56"/>
      <c r="U28" s="52"/>
    </row>
    <row r="29" spans="6:21" x14ac:dyDescent="0.25">
      <c r="F29" s="54" t="s">
        <v>55</v>
      </c>
      <c r="G29" s="55">
        <v>28</v>
      </c>
      <c r="H29" s="56" t="s">
        <v>52</v>
      </c>
    </row>
    <row r="30" spans="6:21" x14ac:dyDescent="0.25">
      <c r="F30" s="54" t="s">
        <v>56</v>
      </c>
      <c r="G30" s="55">
        <v>24</v>
      </c>
      <c r="H30" s="56" t="s">
        <v>52</v>
      </c>
    </row>
    <row r="31" spans="6:21" x14ac:dyDescent="0.25">
      <c r="F31" s="54"/>
      <c r="G31" s="55"/>
      <c r="H31" s="56"/>
    </row>
    <row r="32" spans="6:21" x14ac:dyDescent="0.25">
      <c r="F32" s="54" t="s">
        <v>57</v>
      </c>
      <c r="G32" s="57">
        <f>3.14*((G29/1000)^4-(G30/1000)^4)*$C$2/(32*G20*57.325)</f>
        <v>40.601842496607304</v>
      </c>
      <c r="H32" s="58" t="s">
        <v>47</v>
      </c>
    </row>
    <row r="33" spans="4:8" x14ac:dyDescent="0.25">
      <c r="F33" s="54"/>
      <c r="G33" s="55"/>
      <c r="H33" s="56"/>
    </row>
    <row r="34" spans="4:8" ht="15.75" thickBot="1" x14ac:dyDescent="0.3">
      <c r="F34" s="59" t="s">
        <v>53</v>
      </c>
      <c r="G34" s="60">
        <f>16*G12*G29/1000/(3.14*((G29/1000)^4-(G30/1000)^4))/1000000</f>
        <v>276.24146179784981</v>
      </c>
      <c r="H34" s="61" t="s">
        <v>31</v>
      </c>
    </row>
    <row r="35" spans="4:8" ht="15.75" thickBot="1" x14ac:dyDescent="0.3">
      <c r="D35" t="s">
        <v>81</v>
      </c>
      <c r="E35">
        <f>G35/G34</f>
        <v>1.286917603484703</v>
      </c>
      <c r="F35" s="62" t="s">
        <v>59</v>
      </c>
      <c r="G35" s="63">
        <f>0.45*D3</f>
        <v>355.5</v>
      </c>
      <c r="H35" s="64" t="s">
        <v>31</v>
      </c>
    </row>
    <row r="36" spans="4:8" ht="15.75" thickBot="1" x14ac:dyDescent="0.3">
      <c r="D36" t="s">
        <v>82</v>
      </c>
      <c r="E36">
        <f>0.45*D4/G34</f>
        <v>0</v>
      </c>
      <c r="F36" s="201" t="s">
        <v>60</v>
      </c>
      <c r="G36" s="202"/>
      <c r="H36" s="203"/>
    </row>
    <row r="37" spans="4:8" ht="15.75" thickBot="1" x14ac:dyDescent="0.3"/>
    <row r="38" spans="4:8" x14ac:dyDescent="0.25">
      <c r="F38" s="65" t="s">
        <v>61</v>
      </c>
      <c r="G38" s="66">
        <f>3.14*(G22/1000)^2/4*G20*7800</f>
        <v>3.0778876988604047</v>
      </c>
      <c r="H38" s="67" t="s">
        <v>62</v>
      </c>
    </row>
    <row r="39" spans="4:8" ht="15.75" thickBot="1" x14ac:dyDescent="0.3">
      <c r="F39" s="62" t="s">
        <v>63</v>
      </c>
      <c r="G39" s="68">
        <f>3.14*((G29/1000)^2-(G30/1000)^2)/4*G20*7800</f>
        <v>1.2302821440000005</v>
      </c>
      <c r="H39" s="69" t="s">
        <v>62</v>
      </c>
    </row>
  </sheetData>
  <mergeCells count="2">
    <mergeCell ref="F2:H2"/>
    <mergeCell ref="F36:H3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2D86-2B97-4725-915A-70E912B5967A}">
  <dimension ref="B1:U39"/>
  <sheetViews>
    <sheetView topLeftCell="A10" zoomScale="110" zoomScaleNormal="110" workbookViewId="0">
      <selection activeCell="E37" sqref="E37"/>
    </sheetView>
  </sheetViews>
  <sheetFormatPr defaultRowHeight="15" x14ac:dyDescent="0.25"/>
  <cols>
    <col min="1" max="1" width="4.28515625" customWidth="1"/>
    <col min="2" max="2" width="9.140625" customWidth="1"/>
    <col min="3" max="3" width="12.7109375" customWidth="1"/>
    <col min="6" max="6" width="25.7109375" customWidth="1"/>
    <col min="7" max="7" width="11.28515625" bestFit="1" customWidth="1"/>
  </cols>
  <sheetData>
    <row r="1" spans="2:8" ht="15.75" thickBot="1" x14ac:dyDescent="0.3"/>
    <row r="2" spans="2:8" ht="15.75" thickBot="1" x14ac:dyDescent="0.3">
      <c r="B2" s="33" t="s">
        <v>27</v>
      </c>
      <c r="C2" s="34">
        <v>81000000000</v>
      </c>
      <c r="D2" s="35" t="s">
        <v>28</v>
      </c>
      <c r="F2" s="198" t="s">
        <v>29</v>
      </c>
      <c r="G2" s="199"/>
      <c r="H2" s="200"/>
    </row>
    <row r="3" spans="2:8" x14ac:dyDescent="0.25">
      <c r="B3" t="s">
        <v>30</v>
      </c>
      <c r="C3" s="16"/>
      <c r="D3">
        <v>809</v>
      </c>
      <c r="E3" t="s">
        <v>31</v>
      </c>
      <c r="F3" s="1"/>
      <c r="H3" s="2"/>
    </row>
    <row r="4" spans="2:8" x14ac:dyDescent="0.25">
      <c r="C4" s="36"/>
      <c r="D4">
        <v>1103</v>
      </c>
      <c r="F4" s="37" t="s">
        <v>32</v>
      </c>
      <c r="G4" s="38">
        <v>130</v>
      </c>
      <c r="H4" s="39" t="s">
        <v>33</v>
      </c>
    </row>
    <row r="5" spans="2:8" x14ac:dyDescent="0.25">
      <c r="F5" s="37" t="s">
        <v>34</v>
      </c>
      <c r="G5" s="40">
        <v>0.06</v>
      </c>
      <c r="H5" s="39" t="s">
        <v>35</v>
      </c>
    </row>
    <row r="6" spans="2:8" x14ac:dyDescent="0.25">
      <c r="F6" s="41" t="s">
        <v>36</v>
      </c>
      <c r="G6" s="42">
        <f>G4*G5*1000</f>
        <v>7800</v>
      </c>
      <c r="H6" s="43" t="s">
        <v>37</v>
      </c>
    </row>
    <row r="7" spans="2:8" x14ac:dyDescent="0.25">
      <c r="F7" s="41"/>
      <c r="G7" s="42"/>
      <c r="H7" s="43"/>
    </row>
    <row r="8" spans="2:8" x14ac:dyDescent="0.25">
      <c r="F8" s="37" t="s">
        <v>38</v>
      </c>
      <c r="G8" s="38">
        <v>1.41</v>
      </c>
      <c r="H8" s="39" t="s">
        <v>39</v>
      </c>
    </row>
    <row r="9" spans="2:8" x14ac:dyDescent="0.25">
      <c r="F9" s="1"/>
      <c r="H9" s="2"/>
    </row>
    <row r="10" spans="2:8" x14ac:dyDescent="0.25">
      <c r="F10" s="1" t="s">
        <v>40</v>
      </c>
      <c r="G10" s="17">
        <v>9129</v>
      </c>
      <c r="H10" s="2" t="s">
        <v>41</v>
      </c>
    </row>
    <row r="11" spans="2:8" x14ac:dyDescent="0.25">
      <c r="F11" s="44" t="s">
        <v>42</v>
      </c>
      <c r="G11" s="45">
        <v>8.48E-2</v>
      </c>
      <c r="H11" s="46" t="s">
        <v>35</v>
      </c>
    </row>
    <row r="12" spans="2:8" x14ac:dyDescent="0.25">
      <c r="F12" s="1" t="s">
        <v>43</v>
      </c>
      <c r="G12" s="17">
        <v>596</v>
      </c>
      <c r="H12" s="2" t="s">
        <v>44</v>
      </c>
    </row>
    <row r="13" spans="2:8" x14ac:dyDescent="0.25">
      <c r="F13" s="1"/>
      <c r="H13" s="2"/>
    </row>
    <row r="14" spans="2:8" x14ac:dyDescent="0.25">
      <c r="F14" s="1"/>
      <c r="H14" s="2"/>
    </row>
    <row r="15" spans="2:8" x14ac:dyDescent="0.25">
      <c r="F15" s="1" t="s">
        <v>45</v>
      </c>
      <c r="G15" s="16">
        <f>ATAN(G5/G8/G11/2)*57.325</f>
        <v>14.092124583151213</v>
      </c>
      <c r="H15" s="2" t="s">
        <v>1</v>
      </c>
    </row>
    <row r="16" spans="2:8" x14ac:dyDescent="0.25">
      <c r="F16" s="1"/>
      <c r="H16" s="2"/>
    </row>
    <row r="17" spans="6:21" x14ac:dyDescent="0.25">
      <c r="F17" s="47" t="s">
        <v>46</v>
      </c>
      <c r="G17" s="48">
        <f>G12/G15</f>
        <v>42.293125957216411</v>
      </c>
      <c r="H17" s="49" t="s">
        <v>47</v>
      </c>
    </row>
    <row r="18" spans="6:21" x14ac:dyDescent="0.25">
      <c r="F18" s="1" t="s">
        <v>48</v>
      </c>
      <c r="G18" s="17">
        <f>G17*57.325</f>
        <v>2424.4534454974309</v>
      </c>
      <c r="H18" s="2" t="s">
        <v>49</v>
      </c>
    </row>
    <row r="19" spans="6:21" x14ac:dyDescent="0.25">
      <c r="F19" s="1"/>
      <c r="H19" s="2"/>
    </row>
    <row r="20" spans="6:21" x14ac:dyDescent="0.25">
      <c r="F20" s="44" t="s">
        <v>50</v>
      </c>
      <c r="G20" s="45">
        <v>0.96599999999999997</v>
      </c>
      <c r="H20" s="46" t="s">
        <v>35</v>
      </c>
    </row>
    <row r="21" spans="6:21" x14ac:dyDescent="0.25">
      <c r="F21" s="1"/>
      <c r="H21" s="2"/>
    </row>
    <row r="22" spans="6:21" x14ac:dyDescent="0.25">
      <c r="F22" s="47" t="s">
        <v>51</v>
      </c>
      <c r="G22" s="50">
        <f>(32*G18*G20/(3.14*$C$2))^(1/4)*1000</f>
        <v>23.298693691841617</v>
      </c>
      <c r="H22" s="51" t="s">
        <v>52</v>
      </c>
      <c r="U22" s="52"/>
    </row>
    <row r="23" spans="6:21" x14ac:dyDescent="0.25">
      <c r="F23" s="1"/>
      <c r="H23" s="2"/>
    </row>
    <row r="24" spans="6:21" x14ac:dyDescent="0.25">
      <c r="F24" s="47" t="s">
        <v>53</v>
      </c>
      <c r="G24">
        <f>G12*G22/1000/2/(3.14/32*(G22/1000)^4)</f>
        <v>240127488.77932557</v>
      </c>
      <c r="H24" s="2" t="s">
        <v>28</v>
      </c>
    </row>
    <row r="25" spans="6:21" x14ac:dyDescent="0.25">
      <c r="F25" s="1"/>
      <c r="G25" s="53">
        <f>G24/1000000</f>
        <v>240.12748877932557</v>
      </c>
      <c r="H25" s="51" t="s">
        <v>31</v>
      </c>
    </row>
    <row r="26" spans="6:21" x14ac:dyDescent="0.25">
      <c r="F26" s="1"/>
      <c r="H26" s="2"/>
    </row>
    <row r="27" spans="6:21" x14ac:dyDescent="0.25">
      <c r="F27" s="1"/>
      <c r="H27" s="2"/>
    </row>
    <row r="28" spans="6:21" x14ac:dyDescent="0.25">
      <c r="F28" s="54" t="s">
        <v>54</v>
      </c>
      <c r="G28" s="55"/>
      <c r="H28" s="56"/>
      <c r="U28" s="52"/>
    </row>
    <row r="29" spans="6:21" x14ac:dyDescent="0.25">
      <c r="F29" s="54" t="s">
        <v>55</v>
      </c>
      <c r="G29" s="55">
        <v>25</v>
      </c>
      <c r="H29" s="56" t="s">
        <v>52</v>
      </c>
    </row>
    <row r="30" spans="6:21" x14ac:dyDescent="0.25">
      <c r="F30" s="54" t="s">
        <v>56</v>
      </c>
      <c r="G30" s="55">
        <v>20</v>
      </c>
      <c r="H30" s="56" t="s">
        <v>52</v>
      </c>
    </row>
    <row r="31" spans="6:21" x14ac:dyDescent="0.25">
      <c r="F31" s="54"/>
      <c r="G31" s="55"/>
      <c r="H31" s="56"/>
    </row>
    <row r="32" spans="6:21" x14ac:dyDescent="0.25">
      <c r="F32" s="54" t="s">
        <v>57</v>
      </c>
      <c r="G32" s="57">
        <f>3.14*((G29/1000)^4-(G30/1000)^4)*$C$2/(32*G20*57.325)</f>
        <v>33.101668289663678</v>
      </c>
      <c r="H32" s="58" t="s">
        <v>47</v>
      </c>
    </row>
    <row r="33" spans="4:8" x14ac:dyDescent="0.25">
      <c r="F33" s="54"/>
      <c r="G33" s="55"/>
      <c r="H33" s="56"/>
    </row>
    <row r="34" spans="4:8" ht="15.75" thickBot="1" x14ac:dyDescent="0.3">
      <c r="F34" s="59" t="s">
        <v>53</v>
      </c>
      <c r="G34" s="60">
        <f>16*G12*G29/1000/(3.14*((G29/1000)^4-(G30/1000)^4))/1000000</f>
        <v>329.20787806604159</v>
      </c>
      <c r="H34" s="61" t="s">
        <v>31</v>
      </c>
    </row>
    <row r="35" spans="4:8" ht="15.75" thickBot="1" x14ac:dyDescent="0.3">
      <c r="D35" t="s">
        <v>81</v>
      </c>
      <c r="E35">
        <f>G35/G34</f>
        <v>1.1058362337458061</v>
      </c>
      <c r="F35" s="62" t="s">
        <v>59</v>
      </c>
      <c r="G35" s="63">
        <f>0.45*D3</f>
        <v>364.05</v>
      </c>
      <c r="H35" s="64" t="s">
        <v>31</v>
      </c>
    </row>
    <row r="36" spans="4:8" ht="15.75" thickBot="1" x14ac:dyDescent="0.3">
      <c r="D36" t="s">
        <v>82</v>
      </c>
      <c r="E36">
        <f>0.45*D4/G34</f>
        <v>1.5077099701132561</v>
      </c>
      <c r="F36" s="201" t="s">
        <v>60</v>
      </c>
      <c r="G36" s="202"/>
      <c r="H36" s="203"/>
    </row>
    <row r="37" spans="4:8" ht="15.75" thickBot="1" x14ac:dyDescent="0.3"/>
    <row r="38" spans="4:8" x14ac:dyDescent="0.25">
      <c r="F38" s="65" t="s">
        <v>61</v>
      </c>
      <c r="G38" s="66">
        <f>3.14*(G22/1000)^2/4*G20*7800</f>
        <v>3.2107354957178806</v>
      </c>
      <c r="H38" s="67" t="s">
        <v>62</v>
      </c>
    </row>
    <row r="39" spans="4:8" ht="15.75" thickBot="1" x14ac:dyDescent="0.3">
      <c r="F39" s="62" t="s">
        <v>63</v>
      </c>
      <c r="G39" s="68">
        <f>3.14*((G29/1000)^2-(G30/1000)^2)/4*G20*7800</f>
        <v>1.3308340500000004</v>
      </c>
      <c r="H39" s="69" t="s">
        <v>62</v>
      </c>
    </row>
  </sheetData>
  <mergeCells count="2">
    <mergeCell ref="F2:H2"/>
    <mergeCell ref="F36:H36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708C-3CAF-4ED2-BB3F-444AC09CE8BA}">
  <dimension ref="B1:U39"/>
  <sheetViews>
    <sheetView topLeftCell="A10" zoomScale="110" zoomScaleNormal="110" workbookViewId="0">
      <selection activeCell="G12" sqref="G12"/>
    </sheetView>
  </sheetViews>
  <sheetFormatPr defaultRowHeight="15" x14ac:dyDescent="0.25"/>
  <cols>
    <col min="1" max="1" width="4.28515625" customWidth="1"/>
    <col min="2" max="2" width="9.140625" customWidth="1"/>
    <col min="3" max="3" width="12.7109375" customWidth="1"/>
    <col min="6" max="6" width="25.7109375" customWidth="1"/>
    <col min="7" max="7" width="11.28515625" bestFit="1" customWidth="1"/>
  </cols>
  <sheetData>
    <row r="1" spans="2:8" ht="15.75" thickBot="1" x14ac:dyDescent="0.3"/>
    <row r="2" spans="2:8" ht="15.75" thickBot="1" x14ac:dyDescent="0.3">
      <c r="B2" s="33" t="s">
        <v>27</v>
      </c>
      <c r="C2" s="34">
        <v>81000000000</v>
      </c>
      <c r="D2" s="35" t="s">
        <v>28</v>
      </c>
      <c r="F2" s="198" t="s">
        <v>29</v>
      </c>
      <c r="G2" s="199"/>
      <c r="H2" s="200"/>
    </row>
    <row r="3" spans="2:8" x14ac:dyDescent="0.25">
      <c r="B3" t="s">
        <v>30</v>
      </c>
      <c r="C3" s="16"/>
      <c r="D3">
        <v>809</v>
      </c>
      <c r="E3" t="s">
        <v>31</v>
      </c>
      <c r="F3" s="1"/>
      <c r="H3" s="2"/>
    </row>
    <row r="4" spans="2:8" x14ac:dyDescent="0.25">
      <c r="C4" s="36"/>
      <c r="D4">
        <v>1103</v>
      </c>
      <c r="F4" s="37" t="s">
        <v>32</v>
      </c>
      <c r="G4" s="38">
        <v>130</v>
      </c>
      <c r="H4" s="39" t="s">
        <v>33</v>
      </c>
    </row>
    <row r="5" spans="2:8" x14ac:dyDescent="0.25">
      <c r="F5" s="37" t="s">
        <v>34</v>
      </c>
      <c r="G5" s="40">
        <v>0.06</v>
      </c>
      <c r="H5" s="39" t="s">
        <v>35</v>
      </c>
    </row>
    <row r="6" spans="2:8" x14ac:dyDescent="0.25">
      <c r="F6" s="41" t="s">
        <v>36</v>
      </c>
      <c r="G6" s="42">
        <f>G4*G5*1000</f>
        <v>7800</v>
      </c>
      <c r="H6" s="43" t="s">
        <v>37</v>
      </c>
    </row>
    <row r="7" spans="2:8" x14ac:dyDescent="0.25">
      <c r="F7" s="41"/>
      <c r="G7" s="42"/>
      <c r="H7" s="43"/>
    </row>
    <row r="8" spans="2:8" x14ac:dyDescent="0.25">
      <c r="F8" s="37" t="s">
        <v>38</v>
      </c>
      <c r="G8" s="38">
        <v>1.41</v>
      </c>
      <c r="H8" s="39" t="s">
        <v>39</v>
      </c>
    </row>
    <row r="9" spans="2:8" x14ac:dyDescent="0.25">
      <c r="F9" s="1"/>
      <c r="H9" s="2"/>
    </row>
    <row r="10" spans="2:8" x14ac:dyDescent="0.25">
      <c r="F10" s="1" t="s">
        <v>40</v>
      </c>
      <c r="G10" s="17">
        <v>9129</v>
      </c>
      <c r="H10" s="2" t="s">
        <v>41</v>
      </c>
    </row>
    <row r="11" spans="2:8" x14ac:dyDescent="0.25">
      <c r="F11" s="44" t="s">
        <v>42</v>
      </c>
      <c r="G11" s="45">
        <v>8.48E-2</v>
      </c>
      <c r="H11" s="46" t="s">
        <v>35</v>
      </c>
    </row>
    <row r="12" spans="2:8" x14ac:dyDescent="0.25">
      <c r="F12" s="1" t="s">
        <v>43</v>
      </c>
      <c r="G12" s="17">
        <v>449.6</v>
      </c>
      <c r="H12" s="2" t="s">
        <v>44</v>
      </c>
    </row>
    <row r="13" spans="2:8" x14ac:dyDescent="0.25">
      <c r="F13" s="1"/>
      <c r="H13" s="2"/>
    </row>
    <row r="14" spans="2:8" x14ac:dyDescent="0.25">
      <c r="F14" s="1"/>
      <c r="H14" s="2"/>
    </row>
    <row r="15" spans="2:8" x14ac:dyDescent="0.25">
      <c r="F15" s="1" t="s">
        <v>45</v>
      </c>
      <c r="G15" s="16">
        <f>ATAN(G5/G8/G11/2)*57.325</f>
        <v>14.092124583151213</v>
      </c>
      <c r="H15" s="2" t="s">
        <v>1</v>
      </c>
    </row>
    <row r="16" spans="2:8" x14ac:dyDescent="0.25">
      <c r="F16" s="1"/>
      <c r="H16" s="2"/>
    </row>
    <row r="17" spans="6:21" x14ac:dyDescent="0.25">
      <c r="F17" s="47" t="s">
        <v>46</v>
      </c>
      <c r="G17" s="48">
        <f>G12/G15</f>
        <v>31.904344681819627</v>
      </c>
      <c r="H17" s="49" t="s">
        <v>47</v>
      </c>
    </row>
    <row r="18" spans="6:21" x14ac:dyDescent="0.25">
      <c r="F18" s="1" t="s">
        <v>48</v>
      </c>
      <c r="G18" s="17">
        <f>G17*57.325</f>
        <v>1828.9165588853102</v>
      </c>
      <c r="H18" s="2" t="s">
        <v>49</v>
      </c>
    </row>
    <row r="19" spans="6:21" x14ac:dyDescent="0.25">
      <c r="F19" s="1"/>
      <c r="H19" s="2"/>
    </row>
    <row r="20" spans="6:21" x14ac:dyDescent="0.25">
      <c r="F20" s="44" t="s">
        <v>50</v>
      </c>
      <c r="G20" s="45">
        <v>0.96599999999999997</v>
      </c>
      <c r="H20" s="46" t="s">
        <v>35</v>
      </c>
    </row>
    <row r="21" spans="6:21" x14ac:dyDescent="0.25">
      <c r="F21" s="1"/>
      <c r="H21" s="2"/>
    </row>
    <row r="22" spans="6:21" x14ac:dyDescent="0.25">
      <c r="F22" s="47" t="s">
        <v>51</v>
      </c>
      <c r="G22" s="50">
        <f>(32*G18*G20/(3.14*$C$2))^(1/4)*1000</f>
        <v>21.713337479944126</v>
      </c>
      <c r="H22" s="51" t="s">
        <v>52</v>
      </c>
      <c r="U22" s="52"/>
    </row>
    <row r="23" spans="6:21" x14ac:dyDescent="0.25">
      <c r="F23" s="1"/>
      <c r="H23" s="2"/>
    </row>
    <row r="24" spans="6:21" x14ac:dyDescent="0.25">
      <c r="F24" s="47" t="s">
        <v>53</v>
      </c>
      <c r="G24">
        <f>G12*G22/1000/2/(3.14/32*(G22/1000)^4)</f>
        <v>223788048.85111406</v>
      </c>
      <c r="H24" s="2" t="s">
        <v>28</v>
      </c>
    </row>
    <row r="25" spans="6:21" x14ac:dyDescent="0.25">
      <c r="F25" s="1"/>
      <c r="G25" s="53">
        <f>G24/1000000</f>
        <v>223.78804885111407</v>
      </c>
      <c r="H25" s="51" t="s">
        <v>31</v>
      </c>
    </row>
    <row r="26" spans="6:21" x14ac:dyDescent="0.25">
      <c r="F26" s="1"/>
      <c r="H26" s="2"/>
    </row>
    <row r="27" spans="6:21" x14ac:dyDescent="0.25">
      <c r="F27" s="1"/>
      <c r="H27" s="2"/>
    </row>
    <row r="28" spans="6:21" x14ac:dyDescent="0.25">
      <c r="F28" s="54" t="s">
        <v>54</v>
      </c>
      <c r="G28" s="55"/>
      <c r="H28" s="56"/>
      <c r="U28" s="52"/>
    </row>
    <row r="29" spans="6:21" x14ac:dyDescent="0.25">
      <c r="F29" s="54" t="s">
        <v>55</v>
      </c>
      <c r="G29" s="55">
        <v>25</v>
      </c>
      <c r="H29" s="56" t="s">
        <v>52</v>
      </c>
    </row>
    <row r="30" spans="6:21" x14ac:dyDescent="0.25">
      <c r="F30" s="54" t="s">
        <v>56</v>
      </c>
      <c r="G30" s="55">
        <v>20</v>
      </c>
      <c r="H30" s="56" t="s">
        <v>52</v>
      </c>
    </row>
    <row r="31" spans="6:21" x14ac:dyDescent="0.25">
      <c r="F31" s="54"/>
      <c r="G31" s="55"/>
      <c r="H31" s="56"/>
    </row>
    <row r="32" spans="6:21" x14ac:dyDescent="0.25">
      <c r="F32" s="54" t="s">
        <v>57</v>
      </c>
      <c r="G32" s="57">
        <f>3.14*((G29/1000)^4-(G30/1000)^4)*$C$2/(32*G20*57.325)</f>
        <v>33.101668289663678</v>
      </c>
      <c r="H32" s="58" t="s">
        <v>47</v>
      </c>
    </row>
    <row r="33" spans="4:8" x14ac:dyDescent="0.25">
      <c r="F33" s="54"/>
      <c r="G33" s="55"/>
      <c r="H33" s="56"/>
    </row>
    <row r="34" spans="4:8" ht="15.75" thickBot="1" x14ac:dyDescent="0.3">
      <c r="F34" s="59" t="s">
        <v>53</v>
      </c>
      <c r="G34" s="60">
        <f>16*G12*G29/1000/(3.14*((G29/1000)^4-(G30/1000)^4))/1000000</f>
        <v>248.34205029948373</v>
      </c>
      <c r="H34" s="61" t="s">
        <v>31</v>
      </c>
    </row>
    <row r="35" spans="4:8" ht="15.75" thickBot="1" x14ac:dyDescent="0.3">
      <c r="D35" t="s">
        <v>81</v>
      </c>
      <c r="E35">
        <f>G35/G34</f>
        <v>1.4659216977591203</v>
      </c>
      <c r="F35" s="62" t="s">
        <v>59</v>
      </c>
      <c r="G35" s="63">
        <f>0.45*D3</f>
        <v>364.05</v>
      </c>
      <c r="H35" s="64" t="s">
        <v>31</v>
      </c>
    </row>
    <row r="36" spans="4:8" ht="15.75" thickBot="1" x14ac:dyDescent="0.3">
      <c r="D36" t="s">
        <v>82</v>
      </c>
      <c r="E36">
        <f>0.45*D4/G34</f>
        <v>1.9986546756839427</v>
      </c>
      <c r="F36" s="201" t="s">
        <v>60</v>
      </c>
      <c r="G36" s="202"/>
      <c r="H36" s="203"/>
    </row>
    <row r="37" spans="4:8" ht="15.75" thickBot="1" x14ac:dyDescent="0.3"/>
    <row r="38" spans="4:8" x14ac:dyDescent="0.25">
      <c r="F38" s="65" t="s">
        <v>61</v>
      </c>
      <c r="G38" s="66">
        <f>3.14*(G22/1000)^2/4*G20*7800</f>
        <v>2.7886534726611902</v>
      </c>
      <c r="H38" s="67" t="s">
        <v>62</v>
      </c>
    </row>
    <row r="39" spans="4:8" ht="15.75" thickBot="1" x14ac:dyDescent="0.3">
      <c r="F39" s="62" t="s">
        <v>63</v>
      </c>
      <c r="G39" s="68">
        <f>3.14*((G29/1000)^2-(G30/1000)^2)/4*G20*7800</f>
        <v>1.3308340500000004</v>
      </c>
      <c r="H39" s="69" t="s">
        <v>62</v>
      </c>
    </row>
  </sheetData>
  <mergeCells count="2">
    <mergeCell ref="F2:H2"/>
    <mergeCell ref="F36:H36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0744F-E6AF-40ED-ADF9-614B9D222376}">
  <dimension ref="B1:U39"/>
  <sheetViews>
    <sheetView topLeftCell="A7" zoomScale="110" zoomScaleNormal="110" workbookViewId="0">
      <selection activeCell="G13" sqref="G13"/>
    </sheetView>
  </sheetViews>
  <sheetFormatPr defaultRowHeight="15" x14ac:dyDescent="0.25"/>
  <cols>
    <col min="1" max="1" width="4.28515625" customWidth="1"/>
    <col min="2" max="2" width="9.140625" customWidth="1"/>
    <col min="3" max="3" width="12.7109375" customWidth="1"/>
    <col min="6" max="6" width="25.7109375" customWidth="1"/>
    <col min="7" max="7" width="11.28515625" bestFit="1" customWidth="1"/>
  </cols>
  <sheetData>
    <row r="1" spans="2:8" ht="15.75" thickBot="1" x14ac:dyDescent="0.3"/>
    <row r="2" spans="2:8" ht="15.75" thickBot="1" x14ac:dyDescent="0.3">
      <c r="B2" s="33" t="s">
        <v>27</v>
      </c>
      <c r="C2" s="34">
        <v>81000000000</v>
      </c>
      <c r="D2" s="35" t="s">
        <v>28</v>
      </c>
      <c r="F2" s="198" t="s">
        <v>29</v>
      </c>
      <c r="G2" s="199"/>
      <c r="H2" s="200"/>
    </row>
    <row r="3" spans="2:8" x14ac:dyDescent="0.25">
      <c r="B3" t="s">
        <v>30</v>
      </c>
      <c r="C3" s="16"/>
      <c r="D3">
        <v>790</v>
      </c>
      <c r="E3" t="s">
        <v>31</v>
      </c>
      <c r="F3" s="1"/>
      <c r="H3" s="2"/>
    </row>
    <row r="4" spans="2:8" x14ac:dyDescent="0.25">
      <c r="C4" s="36"/>
      <c r="F4" s="37" t="s">
        <v>32</v>
      </c>
      <c r="G4" s="38">
        <v>130</v>
      </c>
      <c r="H4" s="39" t="s">
        <v>33</v>
      </c>
    </row>
    <row r="5" spans="2:8" x14ac:dyDescent="0.25">
      <c r="F5" s="37" t="s">
        <v>34</v>
      </c>
      <c r="G5" s="40">
        <v>0.06</v>
      </c>
      <c r="H5" s="39" t="s">
        <v>35</v>
      </c>
    </row>
    <row r="6" spans="2:8" x14ac:dyDescent="0.25">
      <c r="F6" s="41" t="s">
        <v>36</v>
      </c>
      <c r="G6" s="42">
        <f>G4*G5*1000</f>
        <v>7800</v>
      </c>
      <c r="H6" s="43" t="s">
        <v>37</v>
      </c>
    </row>
    <row r="7" spans="2:8" x14ac:dyDescent="0.25">
      <c r="F7" s="41"/>
      <c r="G7" s="42"/>
      <c r="H7" s="43"/>
    </row>
    <row r="8" spans="2:8" x14ac:dyDescent="0.25">
      <c r="F8" s="37" t="s">
        <v>38</v>
      </c>
      <c r="G8" s="38">
        <v>1.41</v>
      </c>
      <c r="H8" s="39" t="s">
        <v>39</v>
      </c>
    </row>
    <row r="9" spans="2:8" x14ac:dyDescent="0.25">
      <c r="F9" s="1"/>
      <c r="H9" s="2"/>
    </row>
    <row r="10" spans="2:8" x14ac:dyDescent="0.25">
      <c r="F10" s="117" t="s">
        <v>40</v>
      </c>
      <c r="G10" s="118">
        <v>9129</v>
      </c>
      <c r="H10" s="119" t="s">
        <v>41</v>
      </c>
    </row>
    <row r="11" spans="2:8" x14ac:dyDescent="0.25">
      <c r="F11" s="120" t="s">
        <v>42</v>
      </c>
      <c r="G11" s="121">
        <v>8.48E-2</v>
      </c>
      <c r="H11" s="122" t="s">
        <v>35</v>
      </c>
    </row>
    <row r="12" spans="2:8" x14ac:dyDescent="0.25">
      <c r="F12" s="117" t="s">
        <v>43</v>
      </c>
      <c r="G12" s="118">
        <v>380</v>
      </c>
      <c r="H12" s="119" t="s">
        <v>44</v>
      </c>
    </row>
    <row r="13" spans="2:8" x14ac:dyDescent="0.25">
      <c r="F13" s="117"/>
      <c r="G13" s="123"/>
      <c r="H13" s="119"/>
    </row>
    <row r="14" spans="2:8" x14ac:dyDescent="0.25">
      <c r="F14" s="117"/>
      <c r="G14" s="123"/>
      <c r="H14" s="119"/>
    </row>
    <row r="15" spans="2:8" x14ac:dyDescent="0.25">
      <c r="F15" s="117" t="s">
        <v>45</v>
      </c>
      <c r="G15" s="124">
        <f>ATAN(G5/G8/G11/2)*57.325</f>
        <v>14.092124583151213</v>
      </c>
      <c r="H15" s="119" t="s">
        <v>1</v>
      </c>
    </row>
    <row r="16" spans="2:8" x14ac:dyDescent="0.25">
      <c r="F16" s="117"/>
      <c r="G16" s="123"/>
      <c r="H16" s="119"/>
    </row>
    <row r="17" spans="6:21" x14ac:dyDescent="0.25">
      <c r="F17" s="125" t="s">
        <v>46</v>
      </c>
      <c r="G17" s="126">
        <f>G12/G15</f>
        <v>26.965415878762141</v>
      </c>
      <c r="H17" s="49" t="s">
        <v>47</v>
      </c>
    </row>
    <row r="18" spans="6:21" x14ac:dyDescent="0.25">
      <c r="F18" s="1" t="s">
        <v>48</v>
      </c>
      <c r="G18" s="17">
        <f>G17*57.325</f>
        <v>1545.7924652500399</v>
      </c>
      <c r="H18" s="2" t="s">
        <v>49</v>
      </c>
    </row>
    <row r="19" spans="6:21" x14ac:dyDescent="0.25">
      <c r="F19" s="1"/>
      <c r="H19" s="2"/>
    </row>
    <row r="20" spans="6:21" x14ac:dyDescent="0.25">
      <c r="F20" s="44" t="s">
        <v>50</v>
      </c>
      <c r="G20" s="45">
        <v>0.96599999999999997</v>
      </c>
      <c r="H20" s="46" t="s">
        <v>35</v>
      </c>
    </row>
    <row r="21" spans="6:21" x14ac:dyDescent="0.25">
      <c r="F21" s="1"/>
      <c r="H21" s="2"/>
    </row>
    <row r="22" spans="6:21" x14ac:dyDescent="0.25">
      <c r="F22" s="47" t="s">
        <v>51</v>
      </c>
      <c r="G22" s="50">
        <v>20</v>
      </c>
      <c r="H22" s="51" t="s">
        <v>52</v>
      </c>
      <c r="U22" s="52"/>
    </row>
    <row r="23" spans="6:21" x14ac:dyDescent="0.25">
      <c r="F23" s="1"/>
      <c r="H23" s="2"/>
    </row>
    <row r="24" spans="6:21" x14ac:dyDescent="0.25">
      <c r="F24" s="47" t="s">
        <v>53</v>
      </c>
      <c r="G24">
        <f>G12*G22/1000/2/(3.14/32*(G22/1000)^4)</f>
        <v>242038216.56050953</v>
      </c>
      <c r="H24" s="2" t="s">
        <v>28</v>
      </c>
    </row>
    <row r="25" spans="6:21" x14ac:dyDescent="0.25">
      <c r="F25" s="1"/>
      <c r="G25" s="53">
        <f>G24/1000000</f>
        <v>242.03821656050954</v>
      </c>
      <c r="H25" s="51" t="s">
        <v>31</v>
      </c>
    </row>
    <row r="26" spans="6:21" x14ac:dyDescent="0.25">
      <c r="F26" s="1"/>
      <c r="H26" s="2"/>
    </row>
    <row r="27" spans="6:21" x14ac:dyDescent="0.25">
      <c r="F27" s="1"/>
      <c r="H27" s="2"/>
    </row>
    <row r="28" spans="6:21" x14ac:dyDescent="0.25">
      <c r="F28" s="54" t="s">
        <v>54</v>
      </c>
      <c r="G28" s="55"/>
      <c r="H28" s="56"/>
      <c r="U28" s="52"/>
    </row>
    <row r="29" spans="6:21" x14ac:dyDescent="0.25">
      <c r="F29" s="54" t="s">
        <v>55</v>
      </c>
      <c r="G29" s="55">
        <v>25</v>
      </c>
      <c r="H29" s="56" t="s">
        <v>52</v>
      </c>
    </row>
    <row r="30" spans="6:21" x14ac:dyDescent="0.25">
      <c r="F30" s="54" t="s">
        <v>56</v>
      </c>
      <c r="G30" s="55">
        <v>21</v>
      </c>
      <c r="H30" s="56" t="s">
        <v>52</v>
      </c>
    </row>
    <row r="31" spans="6:21" x14ac:dyDescent="0.25">
      <c r="F31" s="54"/>
      <c r="G31" s="55"/>
      <c r="H31" s="56"/>
    </row>
    <row r="32" spans="6:21" x14ac:dyDescent="0.25">
      <c r="F32" s="54" t="s">
        <v>57</v>
      </c>
      <c r="G32" s="57">
        <f>3.14*((G29/1000)^4-(G30/1000)^4)*$C$2/(32*G20*57.325)</f>
        <v>28.152601084044626</v>
      </c>
      <c r="H32" s="58" t="s">
        <v>47</v>
      </c>
    </row>
    <row r="33" spans="4:8" x14ac:dyDescent="0.25">
      <c r="F33" s="54"/>
      <c r="G33" s="55"/>
      <c r="H33" s="56"/>
    </row>
    <row r="34" spans="4:8" ht="15.75" thickBot="1" x14ac:dyDescent="0.3">
      <c r="F34" s="59" t="s">
        <v>53</v>
      </c>
      <c r="G34" s="60">
        <f>16*G12*G29/1000/(3.14*((G29/1000)^4-(G30/1000)^4))/1000000</f>
        <v>246.79645215811789</v>
      </c>
      <c r="H34" s="61" t="s">
        <v>31</v>
      </c>
    </row>
    <row r="35" spans="4:8" ht="15.75" thickBot="1" x14ac:dyDescent="0.3">
      <c r="D35" t="s">
        <v>81</v>
      </c>
      <c r="E35">
        <f>G35/G34</f>
        <v>1.4404583084210536</v>
      </c>
      <c r="F35" s="62" t="s">
        <v>59</v>
      </c>
      <c r="G35" s="63">
        <f>0.45*D3</f>
        <v>355.5</v>
      </c>
      <c r="H35" s="64" t="s">
        <v>31</v>
      </c>
    </row>
    <row r="36" spans="4:8" ht="15.75" thickBot="1" x14ac:dyDescent="0.3">
      <c r="D36" t="s">
        <v>82</v>
      </c>
      <c r="E36">
        <f>0.45*D4/G34</f>
        <v>0</v>
      </c>
      <c r="F36" s="201" t="s">
        <v>60</v>
      </c>
      <c r="G36" s="202"/>
      <c r="H36" s="203"/>
    </row>
    <row r="37" spans="4:8" ht="15.75" thickBot="1" x14ac:dyDescent="0.3"/>
    <row r="38" spans="4:8" x14ac:dyDescent="0.25">
      <c r="F38" s="65" t="s">
        <v>61</v>
      </c>
      <c r="G38" s="66">
        <f>3.14*(G22/1000)^2/4*G20*7800</f>
        <v>2.3659272000000002</v>
      </c>
      <c r="H38" s="67" t="s">
        <v>62</v>
      </c>
    </row>
    <row r="39" spans="4:8" ht="15.75" thickBot="1" x14ac:dyDescent="0.3">
      <c r="F39" s="62" t="s">
        <v>63</v>
      </c>
      <c r="G39" s="68">
        <f>3.14*((G29/1000)^2-(G30/1000)^2)/4*G20*7800</f>
        <v>1.0883265120000005</v>
      </c>
      <c r="H39" s="69" t="s">
        <v>62</v>
      </c>
    </row>
  </sheetData>
  <mergeCells count="2">
    <mergeCell ref="F2:H2"/>
    <mergeCell ref="F36:H3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9A32-1EDF-4559-BB54-51CF3A1B0F4B}">
  <dimension ref="B1:U39"/>
  <sheetViews>
    <sheetView topLeftCell="A7" zoomScale="110" zoomScaleNormal="110" workbookViewId="0">
      <selection activeCell="D35" sqref="D35:E36"/>
    </sheetView>
  </sheetViews>
  <sheetFormatPr defaultRowHeight="15" x14ac:dyDescent="0.25"/>
  <cols>
    <col min="1" max="1" width="4.28515625" customWidth="1"/>
    <col min="2" max="2" width="9.140625" customWidth="1"/>
    <col min="3" max="3" width="12.7109375" customWidth="1"/>
    <col min="6" max="6" width="25.7109375" customWidth="1"/>
    <col min="7" max="7" width="11.28515625" bestFit="1" customWidth="1"/>
  </cols>
  <sheetData>
    <row r="1" spans="2:8" ht="15.75" thickBot="1" x14ac:dyDescent="0.3"/>
    <row r="2" spans="2:8" ht="15.75" thickBot="1" x14ac:dyDescent="0.3">
      <c r="B2" s="33" t="s">
        <v>27</v>
      </c>
      <c r="C2" s="34">
        <v>81000000000</v>
      </c>
      <c r="D2" s="35" t="s">
        <v>28</v>
      </c>
      <c r="F2" s="198" t="s">
        <v>29</v>
      </c>
      <c r="G2" s="199"/>
      <c r="H2" s="200"/>
    </row>
    <row r="3" spans="2:8" x14ac:dyDescent="0.25">
      <c r="B3" t="s">
        <v>30</v>
      </c>
      <c r="C3" s="16"/>
      <c r="D3">
        <v>790</v>
      </c>
      <c r="E3" t="s">
        <v>31</v>
      </c>
      <c r="F3" s="1"/>
      <c r="H3" s="2"/>
    </row>
    <row r="4" spans="2:8" x14ac:dyDescent="0.25">
      <c r="C4" s="36"/>
      <c r="F4" s="37" t="s">
        <v>32</v>
      </c>
      <c r="G4" s="38">
        <v>130</v>
      </c>
      <c r="H4" s="39" t="s">
        <v>33</v>
      </c>
    </row>
    <row r="5" spans="2:8" x14ac:dyDescent="0.25">
      <c r="F5" s="37" t="s">
        <v>34</v>
      </c>
      <c r="G5" s="40">
        <v>0.06</v>
      </c>
      <c r="H5" s="39" t="s">
        <v>35</v>
      </c>
    </row>
    <row r="6" spans="2:8" x14ac:dyDescent="0.25">
      <c r="F6" s="41" t="s">
        <v>36</v>
      </c>
      <c r="G6" s="42">
        <f>G4*G5*1000</f>
        <v>7800</v>
      </c>
      <c r="H6" s="43" t="s">
        <v>37</v>
      </c>
    </row>
    <row r="7" spans="2:8" x14ac:dyDescent="0.25">
      <c r="F7" s="41"/>
      <c r="G7" s="42"/>
      <c r="H7" s="43"/>
    </row>
    <row r="8" spans="2:8" x14ac:dyDescent="0.25">
      <c r="F8" s="37" t="s">
        <v>38</v>
      </c>
      <c r="G8" s="38">
        <v>1.41</v>
      </c>
      <c r="H8" s="39" t="s">
        <v>39</v>
      </c>
    </row>
    <row r="9" spans="2:8" x14ac:dyDescent="0.25">
      <c r="F9" s="1"/>
      <c r="H9" s="2"/>
    </row>
    <row r="10" spans="2:8" x14ac:dyDescent="0.25">
      <c r="F10" s="117" t="s">
        <v>40</v>
      </c>
      <c r="G10" s="118">
        <v>9129</v>
      </c>
      <c r="H10" s="119" t="s">
        <v>41</v>
      </c>
    </row>
    <row r="11" spans="2:8" x14ac:dyDescent="0.25">
      <c r="F11" s="120" t="s">
        <v>42</v>
      </c>
      <c r="G11" s="121">
        <v>8.48E-2</v>
      </c>
      <c r="H11" s="122" t="s">
        <v>35</v>
      </c>
    </row>
    <row r="12" spans="2:8" x14ac:dyDescent="0.25">
      <c r="F12" s="117" t="s">
        <v>43</v>
      </c>
      <c r="G12" s="118">
        <v>506</v>
      </c>
      <c r="H12" s="119" t="s">
        <v>44</v>
      </c>
    </row>
    <row r="13" spans="2:8" x14ac:dyDescent="0.25">
      <c r="F13" s="117"/>
      <c r="G13" s="123"/>
      <c r="H13" s="119"/>
    </row>
    <row r="14" spans="2:8" x14ac:dyDescent="0.25">
      <c r="F14" s="117"/>
      <c r="G14" s="123"/>
      <c r="H14" s="119"/>
    </row>
    <row r="15" spans="2:8" x14ac:dyDescent="0.25">
      <c r="F15" s="117" t="s">
        <v>45</v>
      </c>
      <c r="G15" s="124">
        <f>ATAN(G5/G8/G11/2)*57.325</f>
        <v>14.092124583151213</v>
      </c>
      <c r="H15" s="119" t="s">
        <v>1</v>
      </c>
    </row>
    <row r="16" spans="2:8" x14ac:dyDescent="0.25">
      <c r="F16" s="117"/>
      <c r="G16" s="123"/>
      <c r="H16" s="119"/>
    </row>
    <row r="17" spans="6:21" x14ac:dyDescent="0.25">
      <c r="F17" s="125" t="s">
        <v>46</v>
      </c>
      <c r="G17" s="126">
        <f>G12/G15</f>
        <v>35.906580091193796</v>
      </c>
      <c r="H17" s="49" t="s">
        <v>47</v>
      </c>
    </row>
    <row r="18" spans="6:21" x14ac:dyDescent="0.25">
      <c r="F18" s="1" t="s">
        <v>48</v>
      </c>
      <c r="G18" s="17">
        <f>G17*57.325</f>
        <v>2058.3447037276846</v>
      </c>
      <c r="H18" s="2" t="s">
        <v>49</v>
      </c>
    </row>
    <row r="19" spans="6:21" x14ac:dyDescent="0.25">
      <c r="F19" s="1"/>
      <c r="H19" s="2"/>
    </row>
    <row r="20" spans="6:21" x14ac:dyDescent="0.25">
      <c r="F20" s="44" t="s">
        <v>50</v>
      </c>
      <c r="G20" s="45">
        <v>0.96599999999999997</v>
      </c>
      <c r="H20" s="46" t="s">
        <v>35</v>
      </c>
    </row>
    <row r="21" spans="6:21" x14ac:dyDescent="0.25">
      <c r="F21" s="1"/>
      <c r="H21" s="2"/>
    </row>
    <row r="22" spans="6:21" x14ac:dyDescent="0.25">
      <c r="F22" s="47" t="s">
        <v>51</v>
      </c>
      <c r="G22" s="50">
        <v>20</v>
      </c>
      <c r="H22" s="51" t="s">
        <v>52</v>
      </c>
      <c r="U22" s="52"/>
    </row>
    <row r="23" spans="6:21" x14ac:dyDescent="0.25">
      <c r="F23" s="1"/>
      <c r="H23" s="2"/>
    </row>
    <row r="24" spans="6:21" x14ac:dyDescent="0.25">
      <c r="F24" s="47" t="s">
        <v>53</v>
      </c>
      <c r="G24">
        <f>G12*G22/1000/2/(3.14/32*(G22/1000)^4)</f>
        <v>322292993.63057321</v>
      </c>
      <c r="H24" s="2" t="s">
        <v>28</v>
      </c>
    </row>
    <row r="25" spans="6:21" x14ac:dyDescent="0.25">
      <c r="F25" s="1"/>
      <c r="G25" s="53">
        <f>G24/1000000</f>
        <v>322.29299363057322</v>
      </c>
      <c r="H25" s="51" t="s">
        <v>31</v>
      </c>
    </row>
    <row r="26" spans="6:21" x14ac:dyDescent="0.25">
      <c r="F26" s="1"/>
      <c r="H26" s="2"/>
    </row>
    <row r="27" spans="6:21" x14ac:dyDescent="0.25">
      <c r="F27" s="1"/>
      <c r="H27" s="2"/>
    </row>
    <row r="28" spans="6:21" x14ac:dyDescent="0.25">
      <c r="F28" s="54" t="s">
        <v>54</v>
      </c>
      <c r="G28" s="55"/>
      <c r="H28" s="56"/>
      <c r="U28" s="52"/>
    </row>
    <row r="29" spans="6:21" x14ac:dyDescent="0.25">
      <c r="F29" s="54" t="s">
        <v>55</v>
      </c>
      <c r="G29" s="55">
        <v>25</v>
      </c>
      <c r="H29" s="56" t="s">
        <v>52</v>
      </c>
    </row>
    <row r="30" spans="6:21" x14ac:dyDescent="0.25">
      <c r="F30" s="54" t="s">
        <v>56</v>
      </c>
      <c r="G30" s="55">
        <v>21</v>
      </c>
      <c r="H30" s="56" t="s">
        <v>52</v>
      </c>
    </row>
    <row r="31" spans="6:21" x14ac:dyDescent="0.25">
      <c r="F31" s="54"/>
      <c r="G31" s="55"/>
      <c r="H31" s="56"/>
    </row>
    <row r="32" spans="6:21" x14ac:dyDescent="0.25">
      <c r="F32" s="54" t="s">
        <v>57</v>
      </c>
      <c r="G32" s="57">
        <f>3.14*((G29/1000)^4-(G30/1000)^4)*$C$2/(32*G20*57.325)</f>
        <v>28.152601084044626</v>
      </c>
      <c r="H32" s="58" t="s">
        <v>47</v>
      </c>
    </row>
    <row r="33" spans="4:8" x14ac:dyDescent="0.25">
      <c r="F33" s="54"/>
      <c r="G33" s="55"/>
      <c r="H33" s="56"/>
    </row>
    <row r="34" spans="4:8" ht="15.75" thickBot="1" x14ac:dyDescent="0.3">
      <c r="F34" s="59" t="s">
        <v>53</v>
      </c>
      <c r="G34" s="60">
        <f>16*G12*G29/1000/(3.14*((G29/1000)^4-(G30/1000)^4))/1000000</f>
        <v>328.62895997896749</v>
      </c>
      <c r="H34" s="61" t="s">
        <v>31</v>
      </c>
    </row>
    <row r="35" spans="4:8" ht="15.75" thickBot="1" x14ac:dyDescent="0.3">
      <c r="D35" t="s">
        <v>81</v>
      </c>
      <c r="E35">
        <f>G35/G34</f>
        <v>1.08176710909091</v>
      </c>
      <c r="F35" s="62" t="s">
        <v>59</v>
      </c>
      <c r="G35" s="63">
        <f>0.45*D3</f>
        <v>355.5</v>
      </c>
      <c r="H35" s="64" t="s">
        <v>31</v>
      </c>
    </row>
    <row r="36" spans="4:8" ht="15.75" thickBot="1" x14ac:dyDescent="0.3">
      <c r="D36" t="s">
        <v>82</v>
      </c>
      <c r="E36">
        <f>0.45*D4/G34</f>
        <v>0</v>
      </c>
      <c r="F36" s="201" t="s">
        <v>60</v>
      </c>
      <c r="G36" s="202"/>
      <c r="H36" s="203"/>
    </row>
    <row r="37" spans="4:8" ht="15.75" thickBot="1" x14ac:dyDescent="0.3"/>
    <row r="38" spans="4:8" x14ac:dyDescent="0.25">
      <c r="F38" s="65" t="s">
        <v>61</v>
      </c>
      <c r="G38" s="66">
        <f>3.14*(G22/1000)^2/4*G20*7800</f>
        <v>2.3659272000000002</v>
      </c>
      <c r="H38" s="67" t="s">
        <v>62</v>
      </c>
    </row>
    <row r="39" spans="4:8" ht="15.75" thickBot="1" x14ac:dyDescent="0.3">
      <c r="F39" s="62" t="s">
        <v>63</v>
      </c>
      <c r="G39" s="68">
        <f>3.14*((G29/1000)^2-(G30/1000)^2)/4*G20*7800</f>
        <v>1.0883265120000005</v>
      </c>
      <c r="H39" s="69" t="s">
        <v>62</v>
      </c>
    </row>
  </sheetData>
  <mergeCells count="2">
    <mergeCell ref="F2:H2"/>
    <mergeCell ref="F36:H36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B9B8-098E-4A29-BD7A-A0EE5E402FB8}">
  <dimension ref="B1:U39"/>
  <sheetViews>
    <sheetView topLeftCell="A10" zoomScale="110" zoomScaleNormal="110" workbookViewId="0">
      <selection activeCell="G13" sqref="G13"/>
    </sheetView>
  </sheetViews>
  <sheetFormatPr defaultRowHeight="15" x14ac:dyDescent="0.25"/>
  <cols>
    <col min="1" max="1" width="4.28515625" customWidth="1"/>
    <col min="2" max="2" width="9.140625" customWidth="1"/>
    <col min="3" max="3" width="12.7109375" customWidth="1"/>
    <col min="6" max="6" width="25.7109375" customWidth="1"/>
    <col min="7" max="7" width="11.28515625" bestFit="1" customWidth="1"/>
  </cols>
  <sheetData>
    <row r="1" spans="2:8" ht="15.75" thickBot="1" x14ac:dyDescent="0.3"/>
    <row r="2" spans="2:8" ht="15.75" thickBot="1" x14ac:dyDescent="0.3">
      <c r="B2" s="33" t="s">
        <v>27</v>
      </c>
      <c r="C2" s="34">
        <v>81000000000</v>
      </c>
      <c r="D2" s="35" t="s">
        <v>28</v>
      </c>
      <c r="F2" s="198" t="s">
        <v>29</v>
      </c>
      <c r="G2" s="199"/>
      <c r="H2" s="200"/>
    </row>
    <row r="3" spans="2:8" x14ac:dyDescent="0.25">
      <c r="B3" t="s">
        <v>30</v>
      </c>
      <c r="C3" s="16"/>
      <c r="D3">
        <v>790</v>
      </c>
      <c r="E3" t="s">
        <v>31</v>
      </c>
      <c r="F3" s="1"/>
      <c r="H3" s="2"/>
    </row>
    <row r="4" spans="2:8" x14ac:dyDescent="0.25">
      <c r="C4" s="36"/>
      <c r="F4" s="37" t="s">
        <v>32</v>
      </c>
      <c r="G4" s="38">
        <v>130</v>
      </c>
      <c r="H4" s="39" t="s">
        <v>33</v>
      </c>
    </row>
    <row r="5" spans="2:8" x14ac:dyDescent="0.25">
      <c r="F5" s="37" t="s">
        <v>34</v>
      </c>
      <c r="G5" s="40">
        <v>0.06</v>
      </c>
      <c r="H5" s="39" t="s">
        <v>35</v>
      </c>
    </row>
    <row r="6" spans="2:8" x14ac:dyDescent="0.25">
      <c r="F6" s="41" t="s">
        <v>36</v>
      </c>
      <c r="G6" s="42">
        <f>G4*G5*1000</f>
        <v>7800</v>
      </c>
      <c r="H6" s="43" t="s">
        <v>37</v>
      </c>
    </row>
    <row r="7" spans="2:8" x14ac:dyDescent="0.25">
      <c r="F7" s="41"/>
      <c r="G7" s="42"/>
      <c r="H7" s="43"/>
    </row>
    <row r="8" spans="2:8" x14ac:dyDescent="0.25">
      <c r="F8" s="37" t="s">
        <v>38</v>
      </c>
      <c r="G8" s="38">
        <v>1.41</v>
      </c>
      <c r="H8" s="39" t="s">
        <v>39</v>
      </c>
    </row>
    <row r="9" spans="2:8" x14ac:dyDescent="0.25">
      <c r="F9" s="1"/>
      <c r="H9" s="2"/>
    </row>
    <row r="10" spans="2:8" x14ac:dyDescent="0.25">
      <c r="F10" s="117" t="s">
        <v>40</v>
      </c>
      <c r="G10" s="118">
        <v>9129</v>
      </c>
      <c r="H10" s="119" t="s">
        <v>41</v>
      </c>
    </row>
    <row r="11" spans="2:8" x14ac:dyDescent="0.25">
      <c r="F11" s="120" t="s">
        <v>42</v>
      </c>
      <c r="G11" s="121">
        <v>8.48E-2</v>
      </c>
      <c r="H11" s="122" t="s">
        <v>35</v>
      </c>
    </row>
    <row r="12" spans="2:8" x14ac:dyDescent="0.25">
      <c r="F12" s="117" t="s">
        <v>43</v>
      </c>
      <c r="G12" s="118">
        <v>405</v>
      </c>
      <c r="H12" s="119" t="s">
        <v>44</v>
      </c>
    </row>
    <row r="13" spans="2:8" x14ac:dyDescent="0.25">
      <c r="F13" s="117"/>
      <c r="G13" s="123"/>
      <c r="H13" s="119"/>
    </row>
    <row r="14" spans="2:8" x14ac:dyDescent="0.25">
      <c r="F14" s="117"/>
      <c r="G14" s="123"/>
      <c r="H14" s="119"/>
    </row>
    <row r="15" spans="2:8" x14ac:dyDescent="0.25">
      <c r="F15" s="117" t="s">
        <v>45</v>
      </c>
      <c r="G15" s="124">
        <f>ATAN(G5/G8/G11/2)*57.325</f>
        <v>14.092124583151213</v>
      </c>
      <c r="H15" s="119" t="s">
        <v>1</v>
      </c>
    </row>
    <row r="16" spans="2:8" x14ac:dyDescent="0.25">
      <c r="F16" s="117"/>
      <c r="G16" s="123"/>
      <c r="H16" s="119"/>
    </row>
    <row r="17" spans="6:21" x14ac:dyDescent="0.25">
      <c r="F17" s="125" t="s">
        <v>46</v>
      </c>
      <c r="G17" s="126">
        <f>G12/G15</f>
        <v>28.739456397101755</v>
      </c>
      <c r="H17" s="49" t="s">
        <v>47</v>
      </c>
    </row>
    <row r="18" spans="6:21" x14ac:dyDescent="0.25">
      <c r="F18" s="1" t="s">
        <v>48</v>
      </c>
      <c r="G18" s="17">
        <f>G17*57.325</f>
        <v>1647.4893379638581</v>
      </c>
      <c r="H18" s="2" t="s">
        <v>49</v>
      </c>
    </row>
    <row r="19" spans="6:21" x14ac:dyDescent="0.25">
      <c r="F19" s="1"/>
      <c r="H19" s="2"/>
    </row>
    <row r="20" spans="6:21" x14ac:dyDescent="0.25">
      <c r="F20" s="44" t="s">
        <v>50</v>
      </c>
      <c r="G20" s="45">
        <v>0.96599999999999997</v>
      </c>
      <c r="H20" s="46" t="s">
        <v>35</v>
      </c>
    </row>
    <row r="21" spans="6:21" x14ac:dyDescent="0.25">
      <c r="F21" s="1"/>
      <c r="H21" s="2"/>
    </row>
    <row r="22" spans="6:21" x14ac:dyDescent="0.25">
      <c r="F22" s="47" t="s">
        <v>51</v>
      </c>
      <c r="G22" s="50">
        <v>20</v>
      </c>
      <c r="H22" s="51" t="s">
        <v>52</v>
      </c>
      <c r="U22" s="52"/>
    </row>
    <row r="23" spans="6:21" x14ac:dyDescent="0.25">
      <c r="F23" s="1"/>
      <c r="H23" s="2"/>
    </row>
    <row r="24" spans="6:21" x14ac:dyDescent="0.25">
      <c r="F24" s="47" t="s">
        <v>53</v>
      </c>
      <c r="G24">
        <f>G12*G22/1000/2/(3.14/32*(G22/1000)^4)</f>
        <v>257961783.43949041</v>
      </c>
      <c r="H24" s="2" t="s">
        <v>28</v>
      </c>
    </row>
    <row r="25" spans="6:21" x14ac:dyDescent="0.25">
      <c r="F25" s="1"/>
      <c r="G25" s="53">
        <f>G24/1000000</f>
        <v>257.96178343949043</v>
      </c>
      <c r="H25" s="51" t="s">
        <v>31</v>
      </c>
    </row>
    <row r="26" spans="6:21" x14ac:dyDescent="0.25">
      <c r="F26" s="1"/>
      <c r="H26" s="2"/>
    </row>
    <row r="27" spans="6:21" x14ac:dyDescent="0.25">
      <c r="F27" s="1"/>
      <c r="H27" s="2"/>
    </row>
    <row r="28" spans="6:21" x14ac:dyDescent="0.25">
      <c r="F28" s="54" t="s">
        <v>54</v>
      </c>
      <c r="G28" s="55"/>
      <c r="H28" s="56"/>
      <c r="U28" s="52"/>
    </row>
    <row r="29" spans="6:21" x14ac:dyDescent="0.25">
      <c r="F29" s="54" t="s">
        <v>55</v>
      </c>
      <c r="G29" s="55">
        <v>20</v>
      </c>
      <c r="H29" s="56" t="s">
        <v>52</v>
      </c>
    </row>
    <row r="30" spans="6:21" x14ac:dyDescent="0.25">
      <c r="F30" s="54" t="s">
        <v>56</v>
      </c>
      <c r="G30" s="55">
        <v>0</v>
      </c>
      <c r="H30" s="56" t="s">
        <v>52</v>
      </c>
    </row>
    <row r="31" spans="6:21" x14ac:dyDescent="0.25">
      <c r="F31" s="54"/>
      <c r="G31" s="55"/>
      <c r="H31" s="56"/>
    </row>
    <row r="32" spans="6:21" x14ac:dyDescent="0.25">
      <c r="F32" s="54" t="s">
        <v>57</v>
      </c>
      <c r="G32" s="57">
        <f>3.14*((G29/1000)^4-(G30/1000)^4)*$C$2/(32*G20*57.325)</f>
        <v>22.964843041067468</v>
      </c>
      <c r="H32" s="58" t="s">
        <v>47</v>
      </c>
    </row>
    <row r="33" spans="4:8" x14ac:dyDescent="0.25">
      <c r="F33" s="54"/>
      <c r="G33" s="55"/>
      <c r="H33" s="56"/>
    </row>
    <row r="34" spans="4:8" ht="15.75" thickBot="1" x14ac:dyDescent="0.3">
      <c r="F34" s="59" t="s">
        <v>53</v>
      </c>
      <c r="G34" s="60">
        <f>16*G12*G29/1000/(3.14*((G29/1000)^4-(G30/1000)^4))/1000000</f>
        <v>257.96178343949043</v>
      </c>
      <c r="H34" s="61" t="s">
        <v>31</v>
      </c>
    </row>
    <row r="35" spans="4:8" ht="15.75" thickBot="1" x14ac:dyDescent="0.3">
      <c r="D35" t="s">
        <v>58</v>
      </c>
      <c r="E35">
        <f>G35/G34</f>
        <v>1.3781111111111113</v>
      </c>
      <c r="F35" s="62" t="s">
        <v>59</v>
      </c>
      <c r="G35" s="63">
        <f>0.45*D3</f>
        <v>355.5</v>
      </c>
      <c r="H35" s="64" t="s">
        <v>31</v>
      </c>
    </row>
    <row r="36" spans="4:8" ht="15.75" thickBot="1" x14ac:dyDescent="0.3">
      <c r="F36" s="201" t="s">
        <v>60</v>
      </c>
      <c r="G36" s="202"/>
      <c r="H36" s="203"/>
    </row>
    <row r="37" spans="4:8" ht="15.75" thickBot="1" x14ac:dyDescent="0.3"/>
    <row r="38" spans="4:8" x14ac:dyDescent="0.25">
      <c r="F38" s="65" t="s">
        <v>61</v>
      </c>
      <c r="G38" s="66">
        <f>3.14*(G22/1000)^2/4*G20*7800</f>
        <v>2.3659272000000002</v>
      </c>
      <c r="H38" s="67" t="s">
        <v>62</v>
      </c>
    </row>
    <row r="39" spans="4:8" ht="15.75" thickBot="1" x14ac:dyDescent="0.3">
      <c r="F39" s="62" t="s">
        <v>63</v>
      </c>
      <c r="G39" s="68">
        <f>3.14*((G29/1000)^2-(G30/1000)^2)/4*G20*7800</f>
        <v>2.3659272000000002</v>
      </c>
      <c r="H39" s="69" t="s">
        <v>62</v>
      </c>
    </row>
  </sheetData>
  <mergeCells count="2">
    <mergeCell ref="F2:H2"/>
    <mergeCell ref="F36:H36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873D-E20A-482F-8137-F1B6E161233C}">
  <dimension ref="A2:AD55"/>
  <sheetViews>
    <sheetView tabSelected="1" zoomScale="115" zoomScaleNormal="115" workbookViewId="0">
      <selection activeCell="S4" sqref="S4"/>
    </sheetView>
  </sheetViews>
  <sheetFormatPr defaultRowHeight="15" x14ac:dyDescent="0.25"/>
  <cols>
    <col min="2" max="2" width="11.42578125" bestFit="1" customWidth="1"/>
    <col min="4" max="4" width="10" customWidth="1"/>
    <col min="5" max="5" width="19.85546875" bestFit="1" customWidth="1"/>
    <col min="6" max="6" width="10.7109375" customWidth="1"/>
    <col min="7" max="8" width="10.28515625" customWidth="1"/>
    <col min="9" max="9" width="13.140625" customWidth="1"/>
    <col min="10" max="10" width="10.7109375" bestFit="1" customWidth="1"/>
    <col min="11" max="11" width="12.140625" bestFit="1" customWidth="1"/>
    <col min="12" max="12" width="11.7109375" bestFit="1" customWidth="1"/>
    <col min="23" max="23" width="13.42578125" bestFit="1" customWidth="1"/>
    <col min="27" max="27" width="10.42578125" bestFit="1" customWidth="1"/>
  </cols>
  <sheetData>
    <row r="2" spans="1:30" x14ac:dyDescent="0.25">
      <c r="B2" t="s">
        <v>0</v>
      </c>
      <c r="C2">
        <v>18.766300000000001</v>
      </c>
      <c r="D2" t="s">
        <v>1</v>
      </c>
      <c r="E2" t="s">
        <v>80</v>
      </c>
      <c r="F2">
        <v>14.11</v>
      </c>
      <c r="G2" t="s">
        <v>1</v>
      </c>
    </row>
    <row r="3" spans="1:30" ht="15.75" thickBot="1" x14ac:dyDescent="0.3"/>
    <row r="4" spans="1:30" s="4" customFormat="1" ht="60.75" thickBot="1" x14ac:dyDescent="0.3">
      <c r="B4" s="166">
        <v>43797</v>
      </c>
      <c r="C4" s="167" t="s">
        <v>3</v>
      </c>
      <c r="D4" s="167" t="s">
        <v>4</v>
      </c>
      <c r="E4" s="167" t="s">
        <v>5</v>
      </c>
      <c r="F4" s="167" t="s">
        <v>6</v>
      </c>
      <c r="G4" s="167" t="s">
        <v>7</v>
      </c>
      <c r="H4" s="167" t="s">
        <v>85</v>
      </c>
      <c r="I4" s="167" t="s">
        <v>75</v>
      </c>
      <c r="J4" s="167" t="s">
        <v>70</v>
      </c>
      <c r="K4" s="167" t="s">
        <v>71</v>
      </c>
      <c r="L4" s="167" t="s">
        <v>72</v>
      </c>
      <c r="M4" s="167" t="s">
        <v>73</v>
      </c>
      <c r="N4" s="167" t="s">
        <v>74</v>
      </c>
      <c r="O4" s="168" t="s">
        <v>74</v>
      </c>
      <c r="P4" s="186" t="s">
        <v>86</v>
      </c>
      <c r="Q4" s="168" t="s">
        <v>74</v>
      </c>
      <c r="R4"/>
      <c r="S4"/>
      <c r="T4"/>
      <c r="U4"/>
      <c r="V4"/>
      <c r="W4"/>
      <c r="X4"/>
      <c r="Y4"/>
      <c r="Z4"/>
      <c r="AA4"/>
      <c r="AB4"/>
      <c r="AC4"/>
      <c r="AD4"/>
    </row>
    <row r="5" spans="1:30" ht="15.75" thickBot="1" x14ac:dyDescent="0.3">
      <c r="B5" s="169" t="s">
        <v>18</v>
      </c>
      <c r="C5" s="170">
        <v>1948</v>
      </c>
      <c r="D5" s="66">
        <v>38.92</v>
      </c>
      <c r="E5" s="171">
        <v>0.95315512615403153</v>
      </c>
      <c r="F5" s="66">
        <f>1/E5*D5</f>
        <v>40.832807726735616</v>
      </c>
      <c r="G5" s="147">
        <f>1/(1-E5)*D5</f>
        <v>830.82729879844703</v>
      </c>
      <c r="H5" s="147">
        <f t="shared" ref="H5:H15" si="0">D5*$C$2</f>
        <v>730.38439600000004</v>
      </c>
      <c r="I5" s="147"/>
      <c r="J5" s="172"/>
      <c r="K5" s="147"/>
      <c r="L5" s="148"/>
      <c r="M5" s="148"/>
      <c r="N5" s="148" t="s">
        <v>83</v>
      </c>
      <c r="O5" s="67" t="s">
        <v>84</v>
      </c>
      <c r="P5" s="187">
        <f>F2</f>
        <v>14.11</v>
      </c>
      <c r="Q5" s="67" t="s">
        <v>84</v>
      </c>
    </row>
    <row r="6" spans="1:30" x14ac:dyDescent="0.25">
      <c r="A6" s="116"/>
      <c r="B6" s="173" t="s">
        <v>19</v>
      </c>
      <c r="C6" s="174">
        <v>2400</v>
      </c>
      <c r="D6" s="175">
        <f>$D$5/$C$5*C6</f>
        <v>47.950718685831632</v>
      </c>
      <c r="E6" s="175">
        <v>0.94633573001690774</v>
      </c>
      <c r="F6" s="175">
        <f>1/E6*D6</f>
        <v>50.66988085187792</v>
      </c>
      <c r="G6" s="176">
        <f>1/(1-E6)*D6</f>
        <v>893.5315564888748</v>
      </c>
      <c r="H6" s="176">
        <f>D6*$C$2</f>
        <v>899.85757207392226</v>
      </c>
      <c r="I6" s="176" t="s">
        <v>76</v>
      </c>
      <c r="J6" s="177">
        <v>6.2</v>
      </c>
      <c r="K6" s="177">
        <v>64</v>
      </c>
      <c r="L6" s="179">
        <v>0</v>
      </c>
      <c r="M6" s="179">
        <v>1.4</v>
      </c>
      <c r="N6" s="179">
        <f>'tube 1'!E36</f>
        <v>1.262068154666667</v>
      </c>
      <c r="O6" s="178">
        <f>'tube 1'!E35</f>
        <v>0.99187241066666687</v>
      </c>
      <c r="P6" s="188">
        <f>D6*$F$2</f>
        <v>676.58464065708426</v>
      </c>
      <c r="Q6" s="178">
        <f>'tube 1 (2)'!E35</f>
        <v>1.3193691540053212</v>
      </c>
    </row>
    <row r="7" spans="1:30" x14ac:dyDescent="0.25">
      <c r="A7" s="116"/>
      <c r="B7" s="128" t="s">
        <v>20</v>
      </c>
      <c r="C7" s="149">
        <v>1980</v>
      </c>
      <c r="D7" s="150">
        <f>$D$5/$C$5*C7</f>
        <v>39.559342915811094</v>
      </c>
      <c r="E7" s="150">
        <v>0.78072504660198028</v>
      </c>
      <c r="F7" s="150">
        <f>1/E7*D7</f>
        <v>50.670006153880649</v>
      </c>
      <c r="G7" s="137">
        <f>1/(1-E7)*D7</f>
        <v>180.40976546922096</v>
      </c>
      <c r="H7" s="137">
        <f t="shared" si="0"/>
        <v>742.3824969609858</v>
      </c>
      <c r="I7" s="137" t="s">
        <v>77</v>
      </c>
      <c r="J7" s="142">
        <v>6.2</v>
      </c>
      <c r="K7" s="142">
        <v>64</v>
      </c>
      <c r="L7" s="180">
        <v>90</v>
      </c>
      <c r="M7" s="180">
        <v>1</v>
      </c>
      <c r="N7" s="180"/>
      <c r="O7" s="151"/>
      <c r="P7" s="189">
        <f t="shared" ref="P7:P15" si="1">D7*$F$2</f>
        <v>558.18232854209452</v>
      </c>
      <c r="Q7" s="151"/>
    </row>
    <row r="8" spans="1:30" x14ac:dyDescent="0.25">
      <c r="A8" s="116"/>
      <c r="B8" s="130" t="s">
        <v>21</v>
      </c>
      <c r="C8" s="152">
        <v>1943</v>
      </c>
      <c r="D8" s="153">
        <f>$D$5/$C$5*C8</f>
        <v>38.82010266940452</v>
      </c>
      <c r="E8" s="153">
        <v>0.95616910179974224</v>
      </c>
      <c r="F8" s="153">
        <f>1/E8*D8</f>
        <v>40.599620502624134</v>
      </c>
      <c r="G8" s="138">
        <f>1/(1-E8)*D8</f>
        <v>885.67892202529003</v>
      </c>
      <c r="H8" s="138">
        <f t="shared" si="0"/>
        <v>728.5096927248461</v>
      </c>
      <c r="I8" s="138" t="s">
        <v>78</v>
      </c>
      <c r="J8" s="143">
        <v>5.8</v>
      </c>
      <c r="K8" s="143">
        <v>64</v>
      </c>
      <c r="L8" s="181">
        <v>0</v>
      </c>
      <c r="M8" s="181">
        <v>1.7</v>
      </c>
      <c r="N8" s="181">
        <f>'tube 2'!E36</f>
        <v>0</v>
      </c>
      <c r="O8" s="154">
        <v>0.96</v>
      </c>
      <c r="P8" s="190">
        <f t="shared" si="1"/>
        <v>547.75164866529781</v>
      </c>
      <c r="Q8" s="154">
        <f>'tube 2 (2)'!E35</f>
        <v>1.286917603484703</v>
      </c>
    </row>
    <row r="9" spans="1:30" x14ac:dyDescent="0.25">
      <c r="A9" s="116"/>
      <c r="B9" s="130" t="s">
        <v>22</v>
      </c>
      <c r="C9" s="152">
        <v>1610</v>
      </c>
      <c r="D9" s="153">
        <f t="shared" ref="D9" si="2">$D$5/$C$5*C9</f>
        <v>32.166940451745383</v>
      </c>
      <c r="E9" s="153">
        <v>0.79230755745636705</v>
      </c>
      <c r="F9" s="153">
        <f t="shared" ref="F9" si="3">1/E9*D9</f>
        <v>40.599057965589125</v>
      </c>
      <c r="G9" s="138">
        <f t="shared" ref="G9" si="4">1/(1-E9)*D9</f>
        <v>154.87776087465295</v>
      </c>
      <c r="H9" s="138">
        <f t="shared" si="0"/>
        <v>603.65445459958937</v>
      </c>
      <c r="I9" s="138" t="s">
        <v>78</v>
      </c>
      <c r="J9" s="143">
        <v>5.8</v>
      </c>
      <c r="K9" s="143">
        <v>64</v>
      </c>
      <c r="L9" s="181">
        <v>90</v>
      </c>
      <c r="M9" s="181">
        <v>1.1299999999999999</v>
      </c>
      <c r="N9" s="181"/>
      <c r="O9" s="154"/>
      <c r="P9" s="190">
        <f t="shared" si="1"/>
        <v>453.87552977412736</v>
      </c>
      <c r="Q9" s="154"/>
    </row>
    <row r="10" spans="1:30" x14ac:dyDescent="0.25">
      <c r="A10" s="116"/>
      <c r="B10" s="129" t="s">
        <v>23</v>
      </c>
      <c r="C10" s="155">
        <v>1595</v>
      </c>
      <c r="D10" s="156">
        <f>$D$5/$C$5*C10</f>
        <v>31.867248459958937</v>
      </c>
      <c r="E10" s="156">
        <v>0.96276743632998418</v>
      </c>
      <c r="F10" s="156">
        <f>1/E10*D10</f>
        <v>33.099632639669565</v>
      </c>
      <c r="G10" s="139">
        <f>1/(1-E10)*D10</f>
        <v>855.8972393733477</v>
      </c>
      <c r="H10" s="139">
        <f t="shared" si="0"/>
        <v>598.03034477412746</v>
      </c>
      <c r="I10" s="139" t="s">
        <v>65</v>
      </c>
      <c r="J10" s="144">
        <v>5.6</v>
      </c>
      <c r="K10" s="144">
        <v>64</v>
      </c>
      <c r="L10" s="182">
        <v>0</v>
      </c>
      <c r="M10" s="182">
        <v>1.58</v>
      </c>
      <c r="N10" s="182">
        <f>'tube 3 '!E36</f>
        <v>1.5077099701132561</v>
      </c>
      <c r="O10" s="157">
        <f>'tube 3 '!E35</f>
        <v>1.1058362337458061</v>
      </c>
      <c r="P10" s="191">
        <f t="shared" si="1"/>
        <v>449.64687577002059</v>
      </c>
      <c r="Q10" s="157">
        <f>'tube 3  (2)'!E35</f>
        <v>1.4659216977591203</v>
      </c>
    </row>
    <row r="11" spans="1:30" x14ac:dyDescent="0.25">
      <c r="A11" s="116"/>
      <c r="B11" s="129" t="s">
        <v>24</v>
      </c>
      <c r="C11" s="155">
        <v>1300</v>
      </c>
      <c r="D11" s="156">
        <f t="shared" ref="D11:D13" si="5">$D$5/$C$5*C11</f>
        <v>25.973305954825467</v>
      </c>
      <c r="E11" s="156">
        <v>0.78470545135679037</v>
      </c>
      <c r="F11" s="156">
        <f t="shared" ref="F11" si="6">1/E11*D11</f>
        <v>33.099433564424046</v>
      </c>
      <c r="G11" s="139">
        <f t="shared" ref="G11:G13" si="7">1/(1-E11)*D11</f>
        <v>120.64079707781612</v>
      </c>
      <c r="H11" s="139">
        <f t="shared" si="0"/>
        <v>487.42285154004117</v>
      </c>
      <c r="I11" s="139" t="s">
        <v>65</v>
      </c>
      <c r="J11" s="144">
        <v>5.6</v>
      </c>
      <c r="K11" s="144">
        <v>64</v>
      </c>
      <c r="L11" s="182">
        <v>90</v>
      </c>
      <c r="M11" s="182">
        <v>1.1399999999999999</v>
      </c>
      <c r="N11" s="182"/>
      <c r="O11" s="157"/>
      <c r="P11" s="191">
        <f t="shared" si="1"/>
        <v>366.48334702258734</v>
      </c>
      <c r="Q11" s="157"/>
    </row>
    <row r="12" spans="1:30" x14ac:dyDescent="0.25">
      <c r="A12" s="116"/>
      <c r="B12" s="136" t="s">
        <v>64</v>
      </c>
      <c r="C12" s="158">
        <v>1348</v>
      </c>
      <c r="D12" s="159">
        <f t="shared" si="5"/>
        <v>26.932320328542097</v>
      </c>
      <c r="E12" s="159">
        <v>0.9564108001085172</v>
      </c>
      <c r="F12" s="159">
        <f>1/E12*D12</f>
        <v>28.159782726717722</v>
      </c>
      <c r="G12" s="140">
        <f t="shared" si="7"/>
        <v>617.86682012038023</v>
      </c>
      <c r="H12" s="140">
        <f t="shared" si="0"/>
        <v>505.42000298151959</v>
      </c>
      <c r="I12" s="140" t="s">
        <v>67</v>
      </c>
      <c r="J12" s="145">
        <v>4.5999999999999996</v>
      </c>
      <c r="K12" s="145">
        <v>64</v>
      </c>
      <c r="L12" s="183">
        <v>0</v>
      </c>
      <c r="M12" s="183">
        <v>1.65</v>
      </c>
      <c r="N12" s="183">
        <f>'tube 4'!E36</f>
        <v>0</v>
      </c>
      <c r="O12" s="160">
        <f>'tube 4'!E35</f>
        <v>1.4404583084210536</v>
      </c>
      <c r="P12" s="192">
        <f t="shared" si="1"/>
        <v>380.015039835729</v>
      </c>
      <c r="Q12" s="160">
        <f>'tube 4 (2)'!E35</f>
        <v>1.08176710909091</v>
      </c>
    </row>
    <row r="13" spans="1:30" x14ac:dyDescent="0.25">
      <c r="A13" s="116"/>
      <c r="B13" s="136" t="s">
        <v>26</v>
      </c>
      <c r="C13" s="158">
        <v>1080</v>
      </c>
      <c r="D13" s="159">
        <f t="shared" si="5"/>
        <v>21.577823408624234</v>
      </c>
      <c r="E13" s="159">
        <v>0.76631633153620238</v>
      </c>
      <c r="F13" s="159">
        <f t="shared" ref="F13" si="8">1/E13*D13</f>
        <v>28.157854035771454</v>
      </c>
      <c r="G13" s="140">
        <f t="shared" si="7"/>
        <v>92.337746794517983</v>
      </c>
      <c r="H13" s="140">
        <f t="shared" si="0"/>
        <v>404.93590743326496</v>
      </c>
      <c r="I13" s="140" t="s">
        <v>67</v>
      </c>
      <c r="J13" s="145">
        <v>4.5999999999999996</v>
      </c>
      <c r="K13" s="145">
        <v>64</v>
      </c>
      <c r="L13" s="183">
        <v>90</v>
      </c>
      <c r="M13" s="183">
        <v>1.1000000000000001</v>
      </c>
      <c r="N13" s="183"/>
      <c r="O13" s="160"/>
      <c r="P13" s="192">
        <f t="shared" si="1"/>
        <v>304.4630882956879</v>
      </c>
      <c r="Q13" s="160"/>
    </row>
    <row r="14" spans="1:30" x14ac:dyDescent="0.25">
      <c r="A14" s="116"/>
      <c r="B14" s="131" t="s">
        <v>68</v>
      </c>
      <c r="C14" s="161">
        <v>1080</v>
      </c>
      <c r="D14" s="162">
        <f>$D$5/$C$5*C14</f>
        <v>21.577823408624234</v>
      </c>
      <c r="E14" s="162">
        <v>0.93982381995834507</v>
      </c>
      <c r="F14" s="162">
        <f>1/E14*D14</f>
        <v>22.959434471006073</v>
      </c>
      <c r="G14" s="141">
        <f>1/(1-E14)*D14</f>
        <v>358.57748686752325</v>
      </c>
      <c r="H14" s="141">
        <f t="shared" si="0"/>
        <v>404.93590743326496</v>
      </c>
      <c r="I14" s="141" t="s">
        <v>66</v>
      </c>
      <c r="J14" s="146">
        <v>3.2</v>
      </c>
      <c r="K14" s="146">
        <v>64</v>
      </c>
      <c r="L14" s="184">
        <v>0</v>
      </c>
      <c r="M14" s="184">
        <v>1.45</v>
      </c>
      <c r="N14" s="184"/>
      <c r="O14" s="163">
        <v>1.38</v>
      </c>
      <c r="P14" s="193">
        <f t="shared" si="1"/>
        <v>304.4630882956879</v>
      </c>
      <c r="Q14" s="163"/>
    </row>
    <row r="15" spans="1:30" ht="15.75" thickBot="1" x14ac:dyDescent="0.3">
      <c r="A15" s="116"/>
      <c r="B15" s="132" t="s">
        <v>69</v>
      </c>
      <c r="C15" s="133">
        <v>750</v>
      </c>
      <c r="D15" s="134">
        <f t="shared" ref="D15" si="9">$D$5/$C$5*C15</f>
        <v>14.984599589322384</v>
      </c>
      <c r="E15" s="134">
        <v>0.65263880823882259</v>
      </c>
      <c r="F15" s="134">
        <f t="shared" ref="F15" si="10">1/E15*D15</f>
        <v>22.960019232933835</v>
      </c>
      <c r="G15" s="135">
        <f>1/(1-E15)*D15</f>
        <v>43.138381444824162</v>
      </c>
      <c r="H15" s="135">
        <f t="shared" si="0"/>
        <v>281.20549127310068</v>
      </c>
      <c r="I15" s="135" t="s">
        <v>66</v>
      </c>
      <c r="J15" s="164">
        <v>3.2</v>
      </c>
      <c r="K15" s="164">
        <v>64</v>
      </c>
      <c r="L15" s="185">
        <v>90</v>
      </c>
      <c r="M15" s="185">
        <v>0.97</v>
      </c>
      <c r="N15" s="185"/>
      <c r="O15" s="165"/>
      <c r="P15" s="194">
        <f t="shared" si="1"/>
        <v>211.43270020533882</v>
      </c>
      <c r="Q15" s="165"/>
    </row>
    <row r="16" spans="1:30" x14ac:dyDescent="0.25">
      <c r="A16" s="116"/>
      <c r="B16" s="116"/>
      <c r="C16" s="116"/>
      <c r="D16" s="116"/>
      <c r="E16" s="116"/>
      <c r="F16" s="116"/>
      <c r="G16" s="116"/>
      <c r="H16" s="116"/>
      <c r="I16" s="116"/>
      <c r="J16" s="116"/>
    </row>
    <row r="17" spans="1:17" x14ac:dyDescent="0.25">
      <c r="A17" s="116"/>
      <c r="B17" s="116"/>
      <c r="C17" s="116"/>
      <c r="D17" s="116"/>
      <c r="E17" s="116"/>
      <c r="F17" s="116"/>
      <c r="G17" s="116"/>
      <c r="H17" s="116"/>
      <c r="I17" s="116"/>
      <c r="J17" s="116"/>
    </row>
    <row r="18" spans="1:17" x14ac:dyDescent="0.25">
      <c r="A18" s="116"/>
      <c r="B18" s="116"/>
      <c r="C18" s="116"/>
      <c r="D18" s="116"/>
      <c r="E18" s="116"/>
      <c r="F18" s="116"/>
      <c r="G18" s="116"/>
      <c r="H18" s="116"/>
      <c r="I18" s="116"/>
      <c r="J18" s="116"/>
    </row>
    <row r="19" spans="1:17" x14ac:dyDescent="0.25">
      <c r="A19" s="116"/>
      <c r="B19" s="116"/>
      <c r="C19" s="116"/>
      <c r="D19" s="116"/>
      <c r="E19" s="116"/>
      <c r="F19" s="116"/>
      <c r="G19" s="116"/>
      <c r="H19" s="116"/>
      <c r="I19" s="116"/>
      <c r="J19" s="116"/>
    </row>
    <row r="20" spans="1:17" x14ac:dyDescent="0.25">
      <c r="A20" s="116"/>
      <c r="B20" s="116"/>
      <c r="C20" s="116"/>
      <c r="D20" s="116"/>
      <c r="E20" s="116"/>
      <c r="F20" s="116"/>
      <c r="G20" s="116"/>
      <c r="H20" s="116"/>
      <c r="I20" s="116"/>
      <c r="J20" s="116"/>
    </row>
    <row r="28" spans="1:17" x14ac:dyDescent="0.25">
      <c r="J28" s="113"/>
      <c r="K28" s="113"/>
      <c r="L28" s="204"/>
      <c r="M28" s="204"/>
      <c r="N28" s="127"/>
    </row>
    <row r="29" spans="1:17" x14ac:dyDescent="0.25">
      <c r="J29" s="114"/>
      <c r="K29" s="114"/>
      <c r="M29" s="29"/>
      <c r="N29" s="29"/>
      <c r="O29" s="29"/>
      <c r="P29" s="31"/>
      <c r="Q29" s="31"/>
    </row>
    <row r="30" spans="1:17" x14ac:dyDescent="0.25">
      <c r="J30" s="115"/>
      <c r="K30" s="115"/>
      <c r="M30" s="29"/>
      <c r="N30" s="29"/>
      <c r="O30" s="29"/>
      <c r="P30" s="31"/>
      <c r="Q30" s="31"/>
    </row>
    <row r="31" spans="1:17" x14ac:dyDescent="0.25">
      <c r="J31" s="115"/>
      <c r="K31" s="115"/>
    </row>
    <row r="34" spans="10:12" x14ac:dyDescent="0.25">
      <c r="J34" s="115"/>
      <c r="K34" s="115"/>
    </row>
    <row r="35" spans="10:12" x14ac:dyDescent="0.25">
      <c r="J35" s="115"/>
      <c r="K35" s="115"/>
    </row>
    <row r="36" spans="10:12" x14ac:dyDescent="0.25">
      <c r="J36" s="115"/>
      <c r="K36" s="115"/>
    </row>
    <row r="37" spans="10:12" x14ac:dyDescent="0.25">
      <c r="J37" s="115"/>
      <c r="K37" s="115"/>
    </row>
    <row r="38" spans="10:12" x14ac:dyDescent="0.25">
      <c r="J38" s="115"/>
      <c r="K38" s="115"/>
    </row>
    <row r="39" spans="10:12" x14ac:dyDescent="0.25">
      <c r="J39" s="115"/>
      <c r="K39" s="115"/>
    </row>
    <row r="46" spans="10:12" x14ac:dyDescent="0.25">
      <c r="K46" s="115"/>
      <c r="L46" s="115"/>
    </row>
    <row r="47" spans="10:12" x14ac:dyDescent="0.25">
      <c r="K47" s="115"/>
      <c r="L47" s="115"/>
    </row>
    <row r="48" spans="10:12" x14ac:dyDescent="0.25">
      <c r="K48" s="115"/>
      <c r="L48" s="115"/>
    </row>
    <row r="49" spans="11:12" x14ac:dyDescent="0.25">
      <c r="K49" s="115"/>
      <c r="L49" s="115"/>
    </row>
    <row r="50" spans="11:12" x14ac:dyDescent="0.25">
      <c r="K50" s="115"/>
      <c r="L50" s="115"/>
    </row>
    <row r="51" spans="11:12" x14ac:dyDescent="0.25">
      <c r="K51" s="115"/>
      <c r="L51" s="115"/>
    </row>
    <row r="52" spans="11:12" x14ac:dyDescent="0.25">
      <c r="K52" s="115"/>
      <c r="L52" s="115"/>
    </row>
    <row r="53" spans="11:12" x14ac:dyDescent="0.25">
      <c r="K53" s="115"/>
      <c r="L53" s="115"/>
    </row>
    <row r="54" spans="11:12" x14ac:dyDescent="0.25">
      <c r="K54" s="115"/>
    </row>
    <row r="55" spans="11:12" x14ac:dyDescent="0.25">
      <c r="K55" s="115"/>
    </row>
  </sheetData>
  <mergeCells count="1">
    <mergeCell ref="L28:M28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blade</vt:lpstr>
      <vt:lpstr>tube 1</vt:lpstr>
      <vt:lpstr>tube 1 (2)</vt:lpstr>
      <vt:lpstr>tube 2</vt:lpstr>
      <vt:lpstr>tube 2 (2)</vt:lpstr>
      <vt:lpstr>tube 3 </vt:lpstr>
      <vt:lpstr>tube 3  (2)</vt:lpstr>
      <vt:lpstr>tube 4</vt:lpstr>
      <vt:lpstr>tube 4 (2)</vt:lpstr>
      <vt:lpstr>tube 5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Francesca.Jourdan</dc:creator>
  <cp:lastModifiedBy>Francesca.Jourdan</cp:lastModifiedBy>
  <dcterms:created xsi:type="dcterms:W3CDTF">2019-11-25T11:48:23Z</dcterms:created>
  <dcterms:modified xsi:type="dcterms:W3CDTF">2019-11-28T16:32:26Z</dcterms:modified>
</cp:coreProperties>
</file>