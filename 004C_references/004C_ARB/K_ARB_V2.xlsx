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.jourdan\Desktop\ARB\"/>
    </mc:Choice>
  </mc:AlternateContent>
  <xr:revisionPtr revIDLastSave="0" documentId="13_ncr:1_{2780DB45-C855-47A3-B409-BD1A3752ACD8}" xr6:coauthVersionLast="45" xr6:coauthVersionMax="45" xr10:uidLastSave="{00000000-0000-0000-0000-000000000000}"/>
  <bookViews>
    <workbookView xWindow="28680" yWindow="-120" windowWidth="38640" windowHeight="15840" xr2:uid="{32947C5C-7DFF-4AFD-8645-CD6D690578C8}"/>
  </bookViews>
  <sheets>
    <sheet name="desired roll grad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16" l="1"/>
  <c r="AC77" i="16" l="1"/>
  <c r="AB77" i="16"/>
  <c r="AA77" i="16"/>
  <c r="Z77" i="16"/>
  <c r="Y77" i="16"/>
  <c r="AC64" i="16"/>
  <c r="AB64" i="16"/>
  <c r="AA64" i="16"/>
  <c r="Z64" i="16"/>
  <c r="Y64" i="16"/>
  <c r="AC51" i="16"/>
  <c r="AB51" i="16"/>
  <c r="AA51" i="16"/>
  <c r="Z51" i="16"/>
  <c r="Y51" i="16"/>
  <c r="AC38" i="16"/>
  <c r="AB38" i="16"/>
  <c r="AA38" i="16"/>
  <c r="Z38" i="16"/>
  <c r="Y38" i="16"/>
  <c r="AC25" i="16"/>
  <c r="AB25" i="16"/>
  <c r="AA25" i="16"/>
  <c r="Z25" i="16"/>
  <c r="Y25" i="16"/>
  <c r="T12" i="16" l="1"/>
  <c r="U12" i="16" s="1"/>
  <c r="T9" i="16"/>
  <c r="U9" i="16" s="1"/>
  <c r="AC137" i="16"/>
  <c r="AB137" i="16"/>
  <c r="AA137" i="16"/>
  <c r="Z137" i="16"/>
  <c r="Y137" i="16"/>
  <c r="Z12" i="16"/>
  <c r="AA12" i="16"/>
  <c r="AB12" i="16"/>
  <c r="AC12" i="16"/>
  <c r="Y12" i="16"/>
  <c r="H40" i="16"/>
  <c r="P38" i="16"/>
  <c r="H41" i="16"/>
  <c r="H42" i="16"/>
  <c r="H39" i="16"/>
  <c r="P39" i="16" s="1"/>
  <c r="P40" i="16"/>
  <c r="P41" i="16"/>
  <c r="P42" i="16"/>
  <c r="E24" i="16" l="1"/>
  <c r="B17" i="16"/>
  <c r="B16" i="16"/>
  <c r="I13" i="16"/>
  <c r="B10" i="16" s="1"/>
  <c r="B25" i="16" s="1"/>
  <c r="R33" i="16" l="1"/>
  <c r="I33" i="16"/>
  <c r="J33" i="16"/>
  <c r="Q33" i="16"/>
  <c r="Q37" i="16" s="1"/>
  <c r="S33" i="16"/>
  <c r="T33" i="16"/>
  <c r="U33" i="16"/>
  <c r="L33" i="16"/>
  <c r="K33" i="16"/>
  <c r="B26" i="16"/>
  <c r="B18" i="16"/>
  <c r="X56" i="16" l="1"/>
  <c r="X82" i="16"/>
  <c r="X43" i="16"/>
  <c r="X69" i="16"/>
  <c r="X30" i="16"/>
  <c r="U37" i="16"/>
  <c r="U38" i="16" s="1"/>
  <c r="AC26" i="16"/>
  <c r="AC39" i="16"/>
  <c r="AC52" i="16"/>
  <c r="AC65" i="16"/>
  <c r="AC78" i="16"/>
  <c r="Z26" i="16"/>
  <c r="Z52" i="16"/>
  <c r="Z78" i="16"/>
  <c r="Z65" i="16"/>
  <c r="Z39" i="16"/>
  <c r="S37" i="16"/>
  <c r="S41" i="16" s="1"/>
  <c r="AA26" i="16"/>
  <c r="AA78" i="16"/>
  <c r="AA52" i="16"/>
  <c r="AA65" i="16"/>
  <c r="AA39" i="16"/>
  <c r="X40" i="16"/>
  <c r="X66" i="16"/>
  <c r="X53" i="16"/>
  <c r="X27" i="16"/>
  <c r="X79" i="16"/>
  <c r="X80" i="16"/>
  <c r="X54" i="16"/>
  <c r="X67" i="16"/>
  <c r="X41" i="16"/>
  <c r="X28" i="16"/>
  <c r="T37" i="16"/>
  <c r="T38" i="16" s="1"/>
  <c r="AB26" i="16"/>
  <c r="AB65" i="16"/>
  <c r="AB52" i="16"/>
  <c r="AB39" i="16"/>
  <c r="AB78" i="16"/>
  <c r="X81" i="16"/>
  <c r="AO81" i="16" s="1"/>
  <c r="X55" i="16"/>
  <c r="X42" i="16"/>
  <c r="X68" i="16"/>
  <c r="X29" i="16"/>
  <c r="Y78" i="16"/>
  <c r="Y65" i="16"/>
  <c r="Y52" i="16"/>
  <c r="Y26" i="16"/>
  <c r="Y39" i="16"/>
  <c r="J37" i="16"/>
  <c r="J38" i="16" s="1"/>
  <c r="X140" i="16"/>
  <c r="X15" i="16"/>
  <c r="K37" i="16"/>
  <c r="K38" i="16" s="1"/>
  <c r="X141" i="16"/>
  <c r="X16" i="16"/>
  <c r="L37" i="16"/>
  <c r="L39" i="16" s="1"/>
  <c r="X17" i="16"/>
  <c r="X142" i="16"/>
  <c r="X14" i="16"/>
  <c r="X139" i="16"/>
  <c r="AC13" i="16"/>
  <c r="AC138" i="16"/>
  <c r="AB13" i="16"/>
  <c r="AB138" i="16"/>
  <c r="Z13" i="16"/>
  <c r="Z138" i="16"/>
  <c r="AA13" i="16"/>
  <c r="AA138" i="16"/>
  <c r="R37" i="16"/>
  <c r="R39" i="16" s="1"/>
  <c r="I37" i="16"/>
  <c r="I40" i="16" s="1"/>
  <c r="Y138" i="16"/>
  <c r="Y13" i="16"/>
  <c r="J40" i="16"/>
  <c r="S39" i="16"/>
  <c r="S38" i="16"/>
  <c r="Q41" i="16"/>
  <c r="S40" i="16"/>
  <c r="T40" i="16"/>
  <c r="Q39" i="16"/>
  <c r="Q40" i="16"/>
  <c r="Q38" i="16"/>
  <c r="S42" i="16"/>
  <c r="T42" i="16"/>
  <c r="Q42" i="16"/>
  <c r="R38" i="16" l="1"/>
  <c r="AL66" i="16"/>
  <c r="AM66" i="16"/>
  <c r="AF66" i="16"/>
  <c r="AG66" i="16"/>
  <c r="AH66" i="16"/>
  <c r="AI66" i="16"/>
  <c r="AE66" i="16"/>
  <c r="AO66" i="16"/>
  <c r="AN66" i="16"/>
  <c r="AK66" i="16"/>
  <c r="AH42" i="16"/>
  <c r="AF42" i="16"/>
  <c r="AG42" i="16"/>
  <c r="AL42" i="16"/>
  <c r="AE42" i="16"/>
  <c r="AM42" i="16"/>
  <c r="AI42" i="16"/>
  <c r="AN42" i="16"/>
  <c r="AO42" i="16"/>
  <c r="AK42" i="16"/>
  <c r="AN80" i="16"/>
  <c r="AL80" i="16"/>
  <c r="AE80" i="16"/>
  <c r="AM80" i="16"/>
  <c r="AO80" i="16"/>
  <c r="AF80" i="16"/>
  <c r="AH80" i="16"/>
  <c r="AK80" i="16"/>
  <c r="AG80" i="16"/>
  <c r="AI80" i="16"/>
  <c r="AH69" i="16"/>
  <c r="AI69" i="16"/>
  <c r="AF69" i="16"/>
  <c r="AN69" i="16"/>
  <c r="AG69" i="16"/>
  <c r="AO69" i="16"/>
  <c r="AE69" i="16"/>
  <c r="AL69" i="16"/>
  <c r="AM69" i="16"/>
  <c r="AK69" i="16"/>
  <c r="R41" i="16"/>
  <c r="AF15" i="16"/>
  <c r="AH15" i="16"/>
  <c r="AE15" i="16"/>
  <c r="AG15" i="16"/>
  <c r="AI15" i="16"/>
  <c r="AN15" i="16"/>
  <c r="AZ15" i="16" s="1"/>
  <c r="AO15" i="16"/>
  <c r="BA15" i="16" s="1"/>
  <c r="AM15" i="16"/>
  <c r="AY15" i="16" s="1"/>
  <c r="AK15" i="16"/>
  <c r="AL15" i="16"/>
  <c r="AH81" i="16"/>
  <c r="AL81" i="16"/>
  <c r="AF81" i="16"/>
  <c r="AG81" i="16"/>
  <c r="AE81" i="16"/>
  <c r="AI81" i="16"/>
  <c r="AM81" i="16"/>
  <c r="AN81" i="16"/>
  <c r="AK81" i="16"/>
  <c r="AH79" i="16"/>
  <c r="AE79" i="16"/>
  <c r="AF79" i="16"/>
  <c r="AI79" i="16"/>
  <c r="AL79" i="16"/>
  <c r="AG79" i="16"/>
  <c r="AO79" i="16"/>
  <c r="AK79" i="16"/>
  <c r="AN79" i="16"/>
  <c r="AM79" i="16"/>
  <c r="R40" i="16"/>
  <c r="AH27" i="16"/>
  <c r="AN27" i="16"/>
  <c r="AF27" i="16"/>
  <c r="AL27" i="16"/>
  <c r="AE27" i="16"/>
  <c r="AG27" i="16"/>
  <c r="AM27" i="16"/>
  <c r="AI27" i="16"/>
  <c r="AO27" i="16"/>
  <c r="AK27" i="16"/>
  <c r="AG43" i="16"/>
  <c r="AN43" i="16"/>
  <c r="AH43" i="16"/>
  <c r="AO43" i="16"/>
  <c r="AL43" i="16"/>
  <c r="AF43" i="16"/>
  <c r="AM43" i="16"/>
  <c r="AK43" i="16"/>
  <c r="AE43" i="16"/>
  <c r="AI43" i="16"/>
  <c r="T41" i="16"/>
  <c r="AE28" i="16"/>
  <c r="AK28" i="16"/>
  <c r="AH28" i="16"/>
  <c r="AN28" i="16"/>
  <c r="AI28" i="16"/>
  <c r="AO28" i="16"/>
  <c r="AF28" i="16"/>
  <c r="AG28" i="16"/>
  <c r="AL28" i="16"/>
  <c r="AM28" i="16"/>
  <c r="AM53" i="16"/>
  <c r="AE53" i="16"/>
  <c r="AI53" i="16"/>
  <c r="AL53" i="16"/>
  <c r="AN53" i="16"/>
  <c r="AK53" i="16"/>
  <c r="AO53" i="16"/>
  <c r="AF53" i="16"/>
  <c r="AG53" i="16"/>
  <c r="AH53" i="16"/>
  <c r="U42" i="16"/>
  <c r="T39" i="16"/>
  <c r="U40" i="16"/>
  <c r="K39" i="16"/>
  <c r="AF17" i="16"/>
  <c r="AG17" i="16"/>
  <c r="AE17" i="16"/>
  <c r="AH17" i="16"/>
  <c r="AI17" i="16"/>
  <c r="AH29" i="16"/>
  <c r="AN29" i="16"/>
  <c r="AI29" i="16"/>
  <c r="AO29" i="16"/>
  <c r="AF29" i="16"/>
  <c r="AL29" i="16"/>
  <c r="AG29" i="16"/>
  <c r="AE29" i="16"/>
  <c r="AM29" i="16"/>
  <c r="AK29" i="16"/>
  <c r="AN41" i="16"/>
  <c r="AL41" i="16"/>
  <c r="AF41" i="16"/>
  <c r="AM41" i="16"/>
  <c r="AO41" i="16"/>
  <c r="AE41" i="16"/>
  <c r="AI41" i="16"/>
  <c r="AG41" i="16"/>
  <c r="AK41" i="16"/>
  <c r="AH41" i="16"/>
  <c r="AN82" i="16"/>
  <c r="AE82" i="16"/>
  <c r="AO82" i="16"/>
  <c r="AL82" i="16"/>
  <c r="AM82" i="16"/>
  <c r="AF82" i="16"/>
  <c r="AK82" i="16"/>
  <c r="AG82" i="16"/>
  <c r="AH82" i="16"/>
  <c r="AI82" i="16"/>
  <c r="AI16" i="16"/>
  <c r="AE16" i="16"/>
  <c r="AF16" i="16"/>
  <c r="AH16" i="16"/>
  <c r="AG16" i="16"/>
  <c r="AK16" i="16"/>
  <c r="AW16" i="16" s="1"/>
  <c r="AL16" i="16"/>
  <c r="AM16" i="16"/>
  <c r="AY16" i="16" s="1"/>
  <c r="AN16" i="16"/>
  <c r="AZ16" i="16" s="1"/>
  <c r="AO16" i="16"/>
  <c r="BA16" i="16" s="1"/>
  <c r="AL68" i="16"/>
  <c r="AM68" i="16"/>
  <c r="AK68" i="16"/>
  <c r="AE68" i="16"/>
  <c r="AN68" i="16"/>
  <c r="AF68" i="16"/>
  <c r="AO68" i="16"/>
  <c r="AI68" i="16"/>
  <c r="AG68" i="16"/>
  <c r="AH68" i="16"/>
  <c r="AG54" i="16"/>
  <c r="AO54" i="16"/>
  <c r="AK54" i="16"/>
  <c r="AF54" i="16"/>
  <c r="AH54" i="16"/>
  <c r="AI54" i="16"/>
  <c r="AN54" i="16"/>
  <c r="AM54" i="16"/>
  <c r="AE54" i="16"/>
  <c r="AL54" i="16"/>
  <c r="AH40" i="16"/>
  <c r="AF40" i="16"/>
  <c r="AG40" i="16"/>
  <c r="AK40" i="16"/>
  <c r="AN40" i="16"/>
  <c r="AO40" i="16"/>
  <c r="AI40" i="16"/>
  <c r="AM40" i="16"/>
  <c r="AE40" i="16"/>
  <c r="AL40" i="16"/>
  <c r="AE30" i="16"/>
  <c r="AK30" i="16"/>
  <c r="AM30" i="16"/>
  <c r="AH30" i="16"/>
  <c r="AN30" i="16"/>
  <c r="AF30" i="16"/>
  <c r="AL30" i="16"/>
  <c r="AG30" i="16"/>
  <c r="AI30" i="16"/>
  <c r="AO30" i="16"/>
  <c r="AM55" i="16"/>
  <c r="AK55" i="16"/>
  <c r="AN55" i="16"/>
  <c r="AI55" i="16"/>
  <c r="AL55" i="16"/>
  <c r="AO55" i="16"/>
  <c r="AH55" i="16"/>
  <c r="AF55" i="16"/>
  <c r="AG55" i="16"/>
  <c r="AE55" i="16"/>
  <c r="U41" i="16"/>
  <c r="U39" i="16"/>
  <c r="AE14" i="16"/>
  <c r="AF14" i="16"/>
  <c r="AG14" i="16"/>
  <c r="AH14" i="16"/>
  <c r="AI14" i="16"/>
  <c r="AM14" i="16"/>
  <c r="AY14" i="16" s="1"/>
  <c r="AN14" i="16"/>
  <c r="AZ14" i="16" s="1"/>
  <c r="AO14" i="16"/>
  <c r="AL14" i="16"/>
  <c r="AX14" i="16" s="1"/>
  <c r="AH67" i="16"/>
  <c r="AK67" i="16"/>
  <c r="AF67" i="16"/>
  <c r="AN67" i="16"/>
  <c r="AG67" i="16"/>
  <c r="AO67" i="16"/>
  <c r="AI67" i="16"/>
  <c r="AE67" i="16"/>
  <c r="AM67" i="16"/>
  <c r="AL67" i="16"/>
  <c r="AG56" i="16"/>
  <c r="AH56" i="16"/>
  <c r="AO56" i="16"/>
  <c r="AK56" i="16"/>
  <c r="AF56" i="16"/>
  <c r="AL56" i="16"/>
  <c r="AM56" i="16"/>
  <c r="AN56" i="16"/>
  <c r="AI56" i="16"/>
  <c r="AE56" i="16"/>
  <c r="AK17" i="16"/>
  <c r="AL17" i="16"/>
  <c r="AM17" i="16"/>
  <c r="AN17" i="16"/>
  <c r="AO17" i="16"/>
  <c r="J39" i="16"/>
  <c r="AE141" i="16"/>
  <c r="AE139" i="16"/>
  <c r="AE140" i="16"/>
  <c r="AE142" i="16"/>
  <c r="AH139" i="16"/>
  <c r="AH142" i="16"/>
  <c r="AH140" i="16"/>
  <c r="AH141" i="16"/>
  <c r="AI141" i="16"/>
  <c r="AI140" i="16"/>
  <c r="AI142" i="16"/>
  <c r="AI139" i="16"/>
  <c r="AG141" i="16"/>
  <c r="AG139" i="16"/>
  <c r="AG140" i="16"/>
  <c r="AG142" i="16"/>
  <c r="R42" i="16"/>
  <c r="AF140" i="16"/>
  <c r="AF142" i="16"/>
  <c r="AF141" i="16"/>
  <c r="AF139" i="16"/>
  <c r="L38" i="16"/>
  <c r="I38" i="16"/>
  <c r="L40" i="16"/>
  <c r="AN141" i="16"/>
  <c r="AT141" i="16" s="1"/>
  <c r="AL141" i="16"/>
  <c r="AR141" i="16" s="1"/>
  <c r="AO141" i="16"/>
  <c r="AU141" i="16" s="1"/>
  <c r="AK141" i="16"/>
  <c r="AQ141" i="16" s="1"/>
  <c r="AM141" i="16"/>
  <c r="AS141" i="16" s="1"/>
  <c r="I39" i="16"/>
  <c r="AR14" i="16"/>
  <c r="AK14" i="16"/>
  <c r="AW14" i="16" s="1"/>
  <c r="AK140" i="16"/>
  <c r="AQ140" i="16" s="1"/>
  <c r="AL140" i="16"/>
  <c r="AR140" i="16" s="1"/>
  <c r="AO140" i="16"/>
  <c r="AU140" i="16" s="1"/>
  <c r="AM140" i="16"/>
  <c r="AS140" i="16" s="1"/>
  <c r="AN140" i="16"/>
  <c r="AT140" i="16" s="1"/>
  <c r="AT16" i="16"/>
  <c r="K40" i="16"/>
  <c r="AM139" i="16"/>
  <c r="AS139" i="16" s="1"/>
  <c r="AN139" i="16"/>
  <c r="AT139" i="16" s="1"/>
  <c r="AK139" i="16"/>
  <c r="AQ139" i="16" s="1"/>
  <c r="AO139" i="16"/>
  <c r="AU139" i="16" s="1"/>
  <c r="AL139" i="16"/>
  <c r="AR139" i="16" s="1"/>
  <c r="AS15" i="16"/>
  <c r="AM142" i="16"/>
  <c r="AS142" i="16" s="1"/>
  <c r="AN142" i="16"/>
  <c r="AT142" i="16" s="1"/>
  <c r="AL142" i="16"/>
  <c r="AR142" i="16" s="1"/>
  <c r="AK142" i="16"/>
  <c r="AQ142" i="16" s="1"/>
  <c r="AO142" i="16"/>
  <c r="AU142" i="16" s="1"/>
  <c r="I41" i="16"/>
  <c r="J41" i="16"/>
  <c r="K41" i="16"/>
  <c r="L41" i="16"/>
  <c r="AS16" i="16" l="1"/>
  <c r="AT14" i="16"/>
  <c r="AY56" i="16"/>
  <c r="AS56" i="16"/>
  <c r="AY40" i="16"/>
  <c r="AS40" i="16"/>
  <c r="AQ69" i="16"/>
  <c r="AW69" i="16"/>
  <c r="AY80" i="16"/>
  <c r="AS80" i="16"/>
  <c r="AU66" i="16"/>
  <c r="BA66" i="16"/>
  <c r="AR56" i="16"/>
  <c r="AX56" i="16"/>
  <c r="AX67" i="16"/>
  <c r="AR67" i="16"/>
  <c r="AT30" i="16"/>
  <c r="AZ30" i="16"/>
  <c r="AY79" i="16"/>
  <c r="AS79" i="16"/>
  <c r="AQ43" i="16"/>
  <c r="AW43" i="16"/>
  <c r="AZ27" i="16"/>
  <c r="AT27" i="16"/>
  <c r="AT15" i="16"/>
  <c r="AY55" i="16"/>
  <c r="AS55" i="16"/>
  <c r="AZ54" i="16"/>
  <c r="AT54" i="16"/>
  <c r="AX68" i="16"/>
  <c r="AR68" i="16"/>
  <c r="AY82" i="16"/>
  <c r="AS82" i="16"/>
  <c r="AW41" i="16"/>
  <c r="AQ41" i="16"/>
  <c r="AZ41" i="16"/>
  <c r="AT41" i="16"/>
  <c r="AU27" i="16"/>
  <c r="BA27" i="16"/>
  <c r="AQ81" i="16"/>
  <c r="AW81" i="16"/>
  <c r="AW30" i="16"/>
  <c r="AQ30" i="16"/>
  <c r="AX82" i="16"/>
  <c r="AR82" i="16"/>
  <c r="AT29" i="16"/>
  <c r="AZ29" i="16"/>
  <c r="AX28" i="16"/>
  <c r="AR28" i="16"/>
  <c r="AW80" i="16"/>
  <c r="AQ80" i="16"/>
  <c r="AU68" i="16"/>
  <c r="BA68" i="16"/>
  <c r="AY29" i="16"/>
  <c r="AS29" i="16"/>
  <c r="AQ53" i="16"/>
  <c r="AW53" i="16"/>
  <c r="AS27" i="16"/>
  <c r="AY27" i="16"/>
  <c r="AU81" i="16"/>
  <c r="BA81" i="16"/>
  <c r="AU42" i="16"/>
  <c r="BA42" i="16"/>
  <c r="AS14" i="16"/>
  <c r="BA55" i="16"/>
  <c r="AU55" i="16"/>
  <c r="AX40" i="16"/>
  <c r="AR40" i="16"/>
  <c r="AZ53" i="16"/>
  <c r="AT53" i="16"/>
  <c r="BA43" i="16"/>
  <c r="AU43" i="16"/>
  <c r="AX79" i="16"/>
  <c r="AR79" i="16"/>
  <c r="AY81" i="16"/>
  <c r="AS81" i="16"/>
  <c r="AZ69" i="16"/>
  <c r="AT69" i="16"/>
  <c r="AZ42" i="16"/>
  <c r="AT42" i="16"/>
  <c r="AW66" i="16"/>
  <c r="AQ66" i="16"/>
  <c r="AY66" i="16"/>
  <c r="AS66" i="16"/>
  <c r="AR54" i="16"/>
  <c r="AX54" i="16"/>
  <c r="BA54" i="16"/>
  <c r="AU54" i="16"/>
  <c r="AY41" i="16"/>
  <c r="AS41" i="16"/>
  <c r="AX29" i="16"/>
  <c r="AR29" i="16"/>
  <c r="AZ43" i="16"/>
  <c r="AT43" i="16"/>
  <c r="AR27" i="16"/>
  <c r="AX27" i="16"/>
  <c r="AY42" i="16"/>
  <c r="AS42" i="16"/>
  <c r="AW67" i="16"/>
  <c r="AQ67" i="16"/>
  <c r="AZ55" i="16"/>
  <c r="AT55" i="16"/>
  <c r="AW68" i="16"/>
  <c r="AQ68" i="16"/>
  <c r="AW82" i="16"/>
  <c r="AQ82" i="16"/>
  <c r="AT28" i="16"/>
  <c r="AZ28" i="16"/>
  <c r="AY69" i="16"/>
  <c r="AS69" i="16"/>
  <c r="AY67" i="16"/>
  <c r="AS67" i="16"/>
  <c r="AW55" i="16"/>
  <c r="AQ55" i="16"/>
  <c r="BA40" i="16"/>
  <c r="AU40" i="16"/>
  <c r="AY54" i="16"/>
  <c r="AS54" i="16"/>
  <c r="AY68" i="16"/>
  <c r="AS68" i="16"/>
  <c r="AR41" i="16"/>
  <c r="AX41" i="16"/>
  <c r="BA29" i="16"/>
  <c r="AU29" i="16"/>
  <c r="AY53" i="16"/>
  <c r="AS53" i="16"/>
  <c r="AQ27" i="16"/>
  <c r="AW27" i="16"/>
  <c r="AZ79" i="16"/>
  <c r="AT79" i="16"/>
  <c r="AR69" i="16"/>
  <c r="AX69" i="16"/>
  <c r="AX80" i="16"/>
  <c r="AR80" i="16"/>
  <c r="AX42" i="16"/>
  <c r="AR42" i="16"/>
  <c r="AQ56" i="16"/>
  <c r="AW56" i="16"/>
  <c r="AY30" i="16"/>
  <c r="AS30" i="16"/>
  <c r="AZ40" i="16"/>
  <c r="AT40" i="16"/>
  <c r="AY28" i="16"/>
  <c r="AS28" i="16"/>
  <c r="AW28" i="16"/>
  <c r="AQ28" i="16"/>
  <c r="AY43" i="16"/>
  <c r="AS43" i="16"/>
  <c r="AQ79" i="16"/>
  <c r="AW79" i="16"/>
  <c r="AX81" i="16"/>
  <c r="AR81" i="16"/>
  <c r="AZ80" i="16"/>
  <c r="AT80" i="16"/>
  <c r="BA56" i="16"/>
  <c r="AU56" i="16"/>
  <c r="AU30" i="16"/>
  <c r="BA30" i="16"/>
  <c r="AW40" i="16"/>
  <c r="AQ40" i="16"/>
  <c r="AQ29" i="16"/>
  <c r="AW29" i="16"/>
  <c r="BA53" i="16"/>
  <c r="AU53" i="16"/>
  <c r="BA79" i="16"/>
  <c r="AU79" i="16"/>
  <c r="AZ81" i="16"/>
  <c r="AT81" i="16"/>
  <c r="BA69" i="16"/>
  <c r="AU69" i="16"/>
  <c r="AW42" i="16"/>
  <c r="AQ42" i="16"/>
  <c r="AU15" i="16"/>
  <c r="AQ16" i="16"/>
  <c r="BA67" i="16"/>
  <c r="AU67" i="16"/>
  <c r="BA82" i="16"/>
  <c r="AU82" i="16"/>
  <c r="AR43" i="16"/>
  <c r="AX43" i="16"/>
  <c r="AU16" i="16"/>
  <c r="AZ56" i="16"/>
  <c r="AT56" i="16"/>
  <c r="AZ67" i="16"/>
  <c r="AT67" i="16"/>
  <c r="AX55" i="16"/>
  <c r="AR55" i="16"/>
  <c r="AX30" i="16"/>
  <c r="AR30" i="16"/>
  <c r="AW54" i="16"/>
  <c r="AQ54" i="16"/>
  <c r="AZ68" i="16"/>
  <c r="AT68" i="16"/>
  <c r="AZ82" i="16"/>
  <c r="AT82" i="16"/>
  <c r="BA41" i="16"/>
  <c r="AU41" i="16"/>
  <c r="AX53" i="16"/>
  <c r="AR53" i="16"/>
  <c r="BA28" i="16"/>
  <c r="AU28" i="16"/>
  <c r="BA80" i="16"/>
  <c r="AU80" i="16"/>
  <c r="AZ66" i="16"/>
  <c r="AT66" i="16"/>
  <c r="AR66" i="16"/>
  <c r="AX66" i="16"/>
  <c r="AT17" i="16"/>
  <c r="AZ17" i="16"/>
  <c r="AR17" i="16"/>
  <c r="AX17" i="16"/>
  <c r="AQ17" i="16"/>
  <c r="AW17" i="16"/>
  <c r="AU17" i="16"/>
  <c r="BA17" i="16"/>
  <c r="AR15" i="16"/>
  <c r="AX15" i="16"/>
  <c r="AS17" i="16"/>
  <c r="AY17" i="16"/>
  <c r="AR16" i="16"/>
  <c r="AX16" i="16"/>
  <c r="AQ15" i="16"/>
  <c r="AW15" i="16"/>
  <c r="AU14" i="16"/>
  <c r="BA14" i="16"/>
  <c r="AQ14" i="16"/>
  <c r="I42" i="16"/>
  <c r="K42" i="16"/>
  <c r="J42" i="16"/>
  <c r="L42" i="16"/>
</calcChain>
</file>

<file path=xl/sharedStrings.xml><?xml version="1.0" encoding="utf-8"?>
<sst xmlns="http://schemas.openxmlformats.org/spreadsheetml/2006/main" count="128" uniqueCount="63">
  <si>
    <t>h_CG</t>
  </si>
  <si>
    <t>a_y</t>
  </si>
  <si>
    <t>H</t>
  </si>
  <si>
    <t>h_RCf</t>
  </si>
  <si>
    <t>h_RCr</t>
  </si>
  <si>
    <t xml:space="preserve">ROLL  ANGLE TARGET </t>
  </si>
  <si>
    <t>m</t>
  </si>
  <si>
    <t>[m]</t>
  </si>
  <si>
    <t>[m/s^2]</t>
  </si>
  <si>
    <t>[kg]</t>
  </si>
  <si>
    <t>[°]</t>
  </si>
  <si>
    <t>K_spring_front</t>
  </si>
  <si>
    <t>K_spring_rear</t>
  </si>
  <si>
    <t>[N/mm]</t>
  </si>
  <si>
    <t>m*a_y*H</t>
  </si>
  <si>
    <t>[rad]</t>
  </si>
  <si>
    <t>t</t>
  </si>
  <si>
    <t xml:space="preserve">motion_ratio </t>
  </si>
  <si>
    <t>spring_displ/wheel_displ</t>
  </si>
  <si>
    <t>tF</t>
  </si>
  <si>
    <t>tR</t>
  </si>
  <si>
    <t>[Nm/rad]</t>
  </si>
  <si>
    <t>[deg]</t>
  </si>
  <si>
    <t>[Nm]</t>
  </si>
  <si>
    <t>weight bal</t>
  </si>
  <si>
    <t>ay max</t>
  </si>
  <si>
    <t>roll angle max</t>
  </si>
  <si>
    <t>[g]</t>
  </si>
  <si>
    <t>h_Rcbalanced</t>
  </si>
  <si>
    <t>DATA:</t>
  </si>
  <si>
    <t>K_ARBfront [Nm/deg]</t>
  </si>
  <si>
    <t>K_ARBrear [Nm/deg]</t>
  </si>
  <si>
    <t>Rear split</t>
  </si>
  <si>
    <t>Chi_tot</t>
  </si>
  <si>
    <t>Total torsional stiff</t>
  </si>
  <si>
    <t>Front split</t>
  </si>
  <si>
    <t>target stiffness balance</t>
  </si>
  <si>
    <t>K arb front</t>
  </si>
  <si>
    <t>Stiffness balance</t>
  </si>
  <si>
    <t>Roll gradient</t>
  </si>
  <si>
    <t>rear arb</t>
  </si>
  <si>
    <t>[Nm/deg]</t>
  </si>
  <si>
    <t>Nm</t>
  </si>
  <si>
    <t>Roll moment ARB front</t>
  </si>
  <si>
    <t>Roll moment ARB rear</t>
  </si>
  <si>
    <t>front</t>
  </si>
  <si>
    <t xml:space="preserve">structural load limits evaluated </t>
  </si>
  <si>
    <t>rear</t>
  </si>
  <si>
    <t>max</t>
  </si>
  <si>
    <t>min</t>
  </si>
  <si>
    <t>standard config</t>
  </si>
  <si>
    <t>legend</t>
  </si>
  <si>
    <t>no possible</t>
  </si>
  <si>
    <t xml:space="preserve"> ARB FRONT</t>
  </si>
  <si>
    <t>ARB REAR</t>
  </si>
  <si>
    <t>MIN</t>
  </si>
  <si>
    <t>MAX</t>
  </si>
  <si>
    <t>balance</t>
  </si>
  <si>
    <t>configuration</t>
  </si>
  <si>
    <t xml:space="preserve">verify structurally </t>
  </si>
  <si>
    <t>roll gradient</t>
  </si>
  <si>
    <t xml:space="preserve">deleted </t>
  </si>
  <si>
    <t xml:space="preserve">0,6-0,9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</si>
</sst>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/>
    <xf numFmtId="1" fontId="0" fillId="0" borderId="0" xfId="0" applyNumberFormat="1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2" fillId="0" borderId="0" xfId="0" applyFont="1" applyAlignment="1"/>
    <xf numFmtId="0" fontId="0" fillId="7" borderId="0" xfId="0" applyFill="1"/>
    <xf numFmtId="0" fontId="0" fillId="2" borderId="3" xfId="0" applyFill="1" applyBorder="1"/>
    <xf numFmtId="0" fontId="0" fillId="2" borderId="4" xfId="0" applyFill="1" applyBorder="1"/>
    <xf numFmtId="164" fontId="0" fillId="2" borderId="0" xfId="0" applyNumberFormat="1" applyFill="1" applyBorder="1"/>
    <xf numFmtId="164" fontId="0" fillId="2" borderId="6" xfId="0" applyNumberFormat="1" applyFill="1" applyBorder="1"/>
    <xf numFmtId="0" fontId="0" fillId="3" borderId="0" xfId="0" applyFill="1" applyBorder="1"/>
    <xf numFmtId="0" fontId="0" fillId="4" borderId="0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7" borderId="1" xfId="0" applyFill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0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2" fontId="0" fillId="0" borderId="11" xfId="0" applyNumberFormat="1" applyBorder="1"/>
    <xf numFmtId="2" fontId="0" fillId="0" borderId="0" xfId="0" applyNumberFormat="1" applyFill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10" xfId="0" applyNumberFormat="1" applyBorder="1"/>
    <xf numFmtId="2" fontId="0" fillId="8" borderId="11" xfId="0" applyNumberFormat="1" applyFill="1" applyBorder="1"/>
    <xf numFmtId="1" fontId="0" fillId="8" borderId="12" xfId="0" applyNumberFormat="1" applyFill="1" applyBorder="1"/>
    <xf numFmtId="1" fontId="0" fillId="8" borderId="13" xfId="0" applyNumberFormat="1" applyFill="1" applyBorder="1"/>
    <xf numFmtId="1" fontId="0" fillId="8" borderId="16" xfId="0" applyNumberFormat="1" applyFill="1" applyBorder="1"/>
    <xf numFmtId="1" fontId="0" fillId="8" borderId="0" xfId="0" applyNumberFormat="1" applyFill="1" applyBorder="1"/>
    <xf numFmtId="1" fontId="0" fillId="8" borderId="15" xfId="0" applyNumberFormat="1" applyFill="1" applyBorder="1"/>
    <xf numFmtId="1" fontId="0" fillId="6" borderId="0" xfId="0" applyNumberFormat="1" applyFill="1" applyBorder="1"/>
    <xf numFmtId="1" fontId="0" fillId="8" borderId="18" xfId="0" applyNumberFormat="1" applyFill="1" applyBorder="1"/>
    <xf numFmtId="1" fontId="0" fillId="0" borderId="0" xfId="0" applyNumberForma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" fontId="0" fillId="0" borderId="1" xfId="0" applyNumberFormat="1" applyBorder="1"/>
    <xf numFmtId="1" fontId="0" fillId="0" borderId="14" xfId="0" applyNumberFormat="1" applyFill="1" applyBorder="1"/>
    <xf numFmtId="1" fontId="0" fillId="0" borderId="1" xfId="0" applyNumberFormat="1" applyFill="1" applyBorder="1"/>
    <xf numFmtId="1" fontId="0" fillId="0" borderId="17" xfId="0" applyNumberFormat="1" applyFill="1" applyBorder="1"/>
    <xf numFmtId="2" fontId="0" fillId="8" borderId="10" xfId="0" applyNumberFormat="1" applyFill="1" applyBorder="1"/>
    <xf numFmtId="1" fontId="0" fillId="0" borderId="11" xfId="0" applyNumberFormat="1" applyFill="1" applyBorder="1"/>
    <xf numFmtId="1" fontId="0" fillId="0" borderId="12" xfId="0" applyNumberFormat="1" applyFill="1" applyBorder="1"/>
    <xf numFmtId="2" fontId="0" fillId="0" borderId="10" xfId="0" applyNumberFormat="1" applyFill="1" applyBorder="1"/>
    <xf numFmtId="2" fontId="0" fillId="0" borderId="0" xfId="0" applyNumberFormat="1" applyFill="1"/>
    <xf numFmtId="1" fontId="0" fillId="0" borderId="18" xfId="0" applyNumberFormat="1" applyFill="1" applyBorder="1"/>
    <xf numFmtId="0" fontId="3" fillId="0" borderId="0" xfId="0" applyFont="1"/>
    <xf numFmtId="1" fontId="0" fillId="10" borderId="1" xfId="0" applyNumberFormat="1" applyFill="1" applyBorder="1"/>
    <xf numFmtId="1" fontId="0" fillId="10" borderId="17" xfId="0" applyNumberFormat="1" applyFill="1" applyBorder="1"/>
    <xf numFmtId="1" fontId="0" fillId="0" borderId="0" xfId="0" applyNumberFormat="1" applyFill="1"/>
    <xf numFmtId="1" fontId="0" fillId="0" borderId="10" xfId="0" applyNumberFormat="1" applyFill="1" applyBorder="1"/>
    <xf numFmtId="1" fontId="0" fillId="8" borderId="10" xfId="0" applyNumberFormat="1" applyFill="1" applyBorder="1"/>
    <xf numFmtId="0" fontId="0" fillId="0" borderId="10" xfId="0" applyFill="1" applyBorder="1"/>
    <xf numFmtId="0" fontId="0" fillId="0" borderId="0" xfId="0" applyFill="1" applyBorder="1"/>
    <xf numFmtId="1" fontId="0" fillId="11" borderId="14" xfId="0" applyNumberFormat="1" applyFill="1" applyBorder="1"/>
    <xf numFmtId="1" fontId="0" fillId="11" borderId="16" xfId="0" applyNumberFormat="1" applyFill="1" applyBorder="1"/>
    <xf numFmtId="1" fontId="0" fillId="11" borderId="0" xfId="0" applyNumberFormat="1" applyFill="1" applyBorder="1"/>
    <xf numFmtId="1" fontId="0" fillId="11" borderId="17" xfId="0" applyNumberFormat="1" applyFill="1" applyBorder="1"/>
    <xf numFmtId="2" fontId="0" fillId="11" borderId="20" xfId="0" applyNumberFormat="1" applyFill="1" applyBorder="1"/>
    <xf numFmtId="2" fontId="0" fillId="11" borderId="11" xfId="0" applyNumberFormat="1" applyFill="1" applyBorder="1"/>
    <xf numFmtId="2" fontId="0" fillId="11" borderId="10" xfId="0" applyNumberFormat="1" applyFill="1" applyBorder="1"/>
    <xf numFmtId="1" fontId="0" fillId="11" borderId="10" xfId="0" applyNumberFormat="1" applyFill="1" applyBorder="1"/>
    <xf numFmtId="2" fontId="0" fillId="8" borderId="19" xfId="0" applyNumberFormat="1" applyFill="1" applyBorder="1"/>
    <xf numFmtId="1" fontId="0" fillId="9" borderId="12" xfId="0" applyNumberFormat="1" applyFill="1" applyBorder="1"/>
    <xf numFmtId="1" fontId="0" fillId="10" borderId="14" xfId="0" applyNumberFormat="1" applyFill="1" applyBorder="1"/>
    <xf numFmtId="1" fontId="0" fillId="9" borderId="15" xfId="0" applyNumberFormat="1" applyFill="1" applyBorder="1"/>
    <xf numFmtId="1" fontId="0" fillId="9" borderId="0" xfId="0" applyNumberFormat="1" applyFill="1" applyBorder="1"/>
    <xf numFmtId="0" fontId="0" fillId="0" borderId="10" xfId="0" applyBorder="1"/>
    <xf numFmtId="1" fontId="0" fillId="0" borderId="10" xfId="0" applyNumberForma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13" borderId="13" xfId="0" applyFill="1" applyBorder="1"/>
    <xf numFmtId="2" fontId="0" fillId="14" borderId="10" xfId="0" applyNumberFormat="1" applyFill="1" applyBorder="1"/>
    <xf numFmtId="1" fontId="0" fillId="14" borderId="12" xfId="0" applyNumberFormat="1" applyFill="1" applyBorder="1"/>
    <xf numFmtId="1" fontId="0" fillId="14" borderId="11" xfId="0" applyNumberFormat="1" applyFill="1" applyBorder="1"/>
    <xf numFmtId="1" fontId="0" fillId="14" borderId="1" xfId="0" applyNumberFormat="1" applyFill="1" applyBorder="1"/>
    <xf numFmtId="1" fontId="0" fillId="14" borderId="10" xfId="0" applyNumberFormat="1" applyFill="1" applyBorder="1"/>
    <xf numFmtId="1" fontId="0" fillId="14" borderId="14" xfId="0" applyNumberFormat="1" applyFill="1" applyBorder="1"/>
    <xf numFmtId="2" fontId="0" fillId="14" borderId="11" xfId="0" applyNumberFormat="1" applyFill="1" applyBorder="1"/>
    <xf numFmtId="1" fontId="0" fillId="14" borderId="18" xfId="0" applyNumberFormat="1" applyFill="1" applyBorder="1"/>
    <xf numFmtId="1" fontId="0" fillId="14" borderId="15" xfId="0" applyNumberFormat="1" applyFill="1" applyBorder="1"/>
    <xf numFmtId="1" fontId="0" fillId="14" borderId="0" xfId="0" applyNumberFormat="1" applyFill="1" applyBorder="1"/>
    <xf numFmtId="2" fontId="0" fillId="9" borderId="10" xfId="0" applyNumberFormat="1" applyFill="1" applyBorder="1"/>
    <xf numFmtId="2" fontId="0" fillId="10" borderId="10" xfId="0" applyNumberFormat="1" applyFill="1" applyBorder="1"/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0" xfId="0" applyFont="1" applyFill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4" borderId="0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12" borderId="0" xfId="0" applyFont="1" applyFill="1" applyAlignment="1">
      <alignment horizontal="center"/>
    </xf>
    <xf numFmtId="0" fontId="0" fillId="8" borderId="0" xfId="0" applyFill="1" applyBorder="1" applyAlignment="1">
      <alignment horizontal="center"/>
    </xf>
    <xf numFmtId="0" fontId="0" fillId="1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142875</xdr:colOff>
      <xdr:row>142</xdr:row>
      <xdr:rowOff>180975</xdr:rowOff>
    </xdr:from>
    <xdr:to>
      <xdr:col>33</xdr:col>
      <xdr:colOff>257175</xdr:colOff>
      <xdr:row>149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BA7958-3A40-4A21-AD06-7316451DBE64}"/>
            </a:ext>
          </a:extLst>
        </xdr:cNvPr>
        <xdr:cNvSpPr txBox="1"/>
      </xdr:nvSpPr>
      <xdr:spPr>
        <a:xfrm>
          <a:off x="17287875" y="19145250"/>
          <a:ext cx="3771900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perchè</a:t>
          </a:r>
          <a:r>
            <a:rPr lang="it-IT" sz="1100" baseline="0"/>
            <a:t> queste erano state aggrigite?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404F-948C-43C1-8321-7CC4AE3A56BE}">
  <dimension ref="A1:BB142"/>
  <sheetViews>
    <sheetView tabSelected="1" topLeftCell="A4" zoomScale="85" zoomScaleNormal="85" workbookViewId="0">
      <selection activeCell="K22" sqref="K22"/>
    </sheetView>
  </sheetViews>
  <sheetFormatPr defaultRowHeight="15" x14ac:dyDescent="0.25"/>
  <cols>
    <col min="1" max="1" width="14" bestFit="1" customWidth="1"/>
    <col min="9" max="9" width="10.140625" bestFit="1" customWidth="1"/>
    <col min="10" max="12" width="9.5703125" bestFit="1" customWidth="1"/>
    <col min="23" max="23" width="12.28515625" customWidth="1"/>
    <col min="43" max="43" width="11" customWidth="1"/>
  </cols>
  <sheetData>
    <row r="1" spans="1:53" ht="15.75" thickBot="1" x14ac:dyDescent="0.3">
      <c r="Y1" s="65" t="s">
        <v>51</v>
      </c>
      <c r="AC1" s="65" t="s">
        <v>61</v>
      </c>
    </row>
    <row r="2" spans="1:53" x14ac:dyDescent="0.25">
      <c r="Z2" s="123" t="s">
        <v>48</v>
      </c>
      <c r="AA2" s="123"/>
      <c r="AD2" s="130" t="s">
        <v>57</v>
      </c>
      <c r="AE2" s="130"/>
      <c r="AL2" s="88"/>
      <c r="AM2" s="89"/>
      <c r="AN2" s="89" t="s">
        <v>55</v>
      </c>
      <c r="AO2" s="89" t="s">
        <v>56</v>
      </c>
      <c r="AP2" s="90"/>
    </row>
    <row r="3" spans="1:53" ht="15.75" thickBot="1" x14ac:dyDescent="0.3">
      <c r="Z3" s="124" t="s">
        <v>49</v>
      </c>
      <c r="AA3" s="124"/>
      <c r="AD3" s="131" t="s">
        <v>58</v>
      </c>
      <c r="AE3" s="131"/>
      <c r="AL3" s="126" t="s">
        <v>53</v>
      </c>
      <c r="AM3" s="127"/>
      <c r="AN3" s="86">
        <v>26</v>
      </c>
      <c r="AO3" s="87">
        <v>3186</v>
      </c>
      <c r="AP3" s="91" t="s">
        <v>21</v>
      </c>
      <c r="AQ3">
        <v>2700</v>
      </c>
    </row>
    <row r="4" spans="1:53" ht="15.75" thickBot="1" x14ac:dyDescent="0.3">
      <c r="Z4" s="120" t="s">
        <v>50</v>
      </c>
      <c r="AA4" s="121"/>
      <c r="AD4" s="132" t="s">
        <v>59</v>
      </c>
      <c r="AE4" s="132"/>
      <c r="AL4" s="128" t="s">
        <v>54</v>
      </c>
      <c r="AM4" s="129"/>
      <c r="AN4" s="92">
        <v>30</v>
      </c>
      <c r="AO4" s="92">
        <v>300</v>
      </c>
      <c r="AP4" s="93" t="s">
        <v>21</v>
      </c>
    </row>
    <row r="5" spans="1:53" x14ac:dyDescent="0.25">
      <c r="Z5" s="122" t="s">
        <v>52</v>
      </c>
      <c r="AA5" s="122"/>
      <c r="AD5" s="125" t="s">
        <v>60</v>
      </c>
      <c r="AE5" s="125"/>
      <c r="AF5" t="s">
        <v>62</v>
      </c>
    </row>
    <row r="8" spans="1:53" x14ac:dyDescent="0.25">
      <c r="A8" s="6" t="s">
        <v>29</v>
      </c>
      <c r="R8" t="s">
        <v>46</v>
      </c>
    </row>
    <row r="9" spans="1:53" x14ac:dyDescent="0.25">
      <c r="R9" t="s">
        <v>45</v>
      </c>
      <c r="S9" s="49">
        <v>2500</v>
      </c>
      <c r="T9" s="50">
        <f>ATAN(0.06/B18)*57.325</f>
        <v>2.0661120982888757</v>
      </c>
      <c r="U9" s="51">
        <f>S9*T9</f>
        <v>5165.2802457221887</v>
      </c>
      <c r="W9" t="s">
        <v>40</v>
      </c>
      <c r="Z9">
        <v>0</v>
      </c>
      <c r="AA9" t="s">
        <v>41</v>
      </c>
    </row>
    <row r="10" spans="1:53" x14ac:dyDescent="0.25">
      <c r="A10" t="s">
        <v>2</v>
      </c>
      <c r="B10">
        <f>B11-I13</f>
        <v>0.33650000000000002</v>
      </c>
      <c r="D10" t="s">
        <v>7</v>
      </c>
      <c r="S10" s="52"/>
      <c r="T10" s="53"/>
      <c r="U10" s="54" t="s">
        <v>42</v>
      </c>
      <c r="W10" t="s">
        <v>36</v>
      </c>
      <c r="Z10" s="7">
        <v>0.5</v>
      </c>
    </row>
    <row r="11" spans="1:53" x14ac:dyDescent="0.25">
      <c r="A11" t="s">
        <v>0</v>
      </c>
      <c r="B11">
        <v>0.4</v>
      </c>
      <c r="D11" t="s">
        <v>7</v>
      </c>
      <c r="AC11" s="3"/>
      <c r="AD11" s="4"/>
    </row>
    <row r="12" spans="1:53" x14ac:dyDescent="0.25">
      <c r="A12" t="s">
        <v>24</v>
      </c>
      <c r="B12">
        <v>0.45</v>
      </c>
      <c r="R12" t="s">
        <v>47</v>
      </c>
      <c r="S12" s="49">
        <v>300</v>
      </c>
      <c r="T12" s="50">
        <f>ATAN(0.06/B18)*57.325</f>
        <v>2.0661120982888757</v>
      </c>
      <c r="U12" s="94">
        <f>S12*T12</f>
        <v>619.83362948666274</v>
      </c>
      <c r="W12" t="s">
        <v>37</v>
      </c>
      <c r="Y12">
        <f>Q$31</f>
        <v>190</v>
      </c>
      <c r="Z12">
        <f t="shared" ref="Z12:AC12" si="0">R$31</f>
        <v>210</v>
      </c>
      <c r="AA12">
        <f t="shared" si="0"/>
        <v>230</v>
      </c>
      <c r="AB12">
        <f t="shared" si="0"/>
        <v>250</v>
      </c>
      <c r="AC12">
        <f t="shared" si="0"/>
        <v>270</v>
      </c>
      <c r="AE12" s="7" t="s">
        <v>38</v>
      </c>
      <c r="AF12" s="7"/>
      <c r="AG12" s="7"/>
      <c r="AH12" s="7"/>
      <c r="AI12" s="7"/>
      <c r="AJ12" s="7"/>
      <c r="AK12" t="s">
        <v>39</v>
      </c>
      <c r="AQ12" t="s">
        <v>43</v>
      </c>
      <c r="AW12" t="s">
        <v>44</v>
      </c>
    </row>
    <row r="13" spans="1:53" x14ac:dyDescent="0.25">
      <c r="A13" t="s">
        <v>3</v>
      </c>
      <c r="B13">
        <v>2.5000000000000001E-2</v>
      </c>
      <c r="D13" t="s">
        <v>7</v>
      </c>
      <c r="E13" t="s">
        <v>4</v>
      </c>
      <c r="F13">
        <v>9.5000000000000001E-2</v>
      </c>
      <c r="G13" t="s">
        <v>7</v>
      </c>
      <c r="H13" t="s">
        <v>28</v>
      </c>
      <c r="I13">
        <f>B13*B12+F13*(1-B12)</f>
        <v>6.3500000000000001E-2</v>
      </c>
      <c r="J13" t="s">
        <v>7</v>
      </c>
      <c r="S13" s="52"/>
      <c r="T13" s="53"/>
      <c r="U13" s="54" t="s">
        <v>42</v>
      </c>
      <c r="Y13" s="4">
        <f>Q$33</f>
        <v>117387.34067827118</v>
      </c>
      <c r="Z13" s="4">
        <f t="shared" ref="Z13:AC13" si="1">R$33</f>
        <v>129743.90285493129</v>
      </c>
      <c r="AA13" s="4">
        <f t="shared" si="1"/>
        <v>142100.46503159142</v>
      </c>
      <c r="AB13" s="4">
        <f t="shared" si="1"/>
        <v>154457.02720825156</v>
      </c>
      <c r="AC13" s="4">
        <f t="shared" si="1"/>
        <v>166813.5893849117</v>
      </c>
      <c r="AE13" s="7"/>
      <c r="AF13" s="7"/>
      <c r="AG13" s="7"/>
      <c r="AH13" s="7"/>
      <c r="AI13" s="7"/>
      <c r="AJ13" s="7"/>
    </row>
    <row r="14" spans="1:53" ht="15.75" thickBot="1" x14ac:dyDescent="0.3">
      <c r="A14" t="s">
        <v>1</v>
      </c>
      <c r="B14">
        <v>9.81</v>
      </c>
      <c r="D14" t="s">
        <v>8</v>
      </c>
      <c r="W14">
        <v>170</v>
      </c>
      <c r="X14" s="4">
        <f>$I$33</f>
        <v>112885.79403415232</v>
      </c>
      <c r="Y14" s="97">
        <v>78.169650042305278</v>
      </c>
      <c r="Z14" s="96">
        <v>290.28544054720976</v>
      </c>
      <c r="AA14" s="96">
        <v>503.46708384897261</v>
      </c>
      <c r="AB14" s="41"/>
      <c r="AC14" s="42"/>
      <c r="AE14" s="101">
        <f>(Y14*57.325+$X14)/($X14+Y14*57.325+Y$13+$Z$9*57.325)</f>
        <v>0.49995639810793524</v>
      </c>
      <c r="AF14" s="101">
        <f t="shared" ref="AF14:AI14" si="2">(Z14*57.325+$X14)/($X14+Z14*57.325+Z$13+$Z$9*57.325)</f>
        <v>0.49958056141946133</v>
      </c>
      <c r="AG14" s="101">
        <f t="shared" si="2"/>
        <v>0.49937744668565914</v>
      </c>
      <c r="AH14" s="40">
        <f t="shared" si="2"/>
        <v>0.42225107638778536</v>
      </c>
      <c r="AI14" s="81">
        <f t="shared" si="2"/>
        <v>0.40359686408396334</v>
      </c>
      <c r="AJ14" s="7"/>
      <c r="AK14" s="95">
        <f>$B$25/($X14/57.325+Y$13/57.325+Y14+$Z$9)</f>
        <v>1.1285291611452382</v>
      </c>
      <c r="AL14" s="95">
        <f t="shared" ref="AL14:AO14" si="3">$B$25/($X14/57.325+Z$13/57.325+Z14+$Z$9)</f>
        <v>1.0218176227412983</v>
      </c>
      <c r="AM14" s="95">
        <f t="shared" si="3"/>
        <v>0.93334259618521809</v>
      </c>
      <c r="AN14" s="59">
        <f t="shared" si="3"/>
        <v>0.99096347657222728</v>
      </c>
      <c r="AO14" s="59">
        <f t="shared" si="3"/>
        <v>0.94718468212734319</v>
      </c>
      <c r="AQ14" s="99">
        <f>$B$21*AK14*Y14</f>
        <v>220.54182397314901</v>
      </c>
      <c r="AR14" s="99">
        <f t="shared" ref="AR14:AU14" si="4">$B$21*AL14*Z14</f>
        <v>741.54694694090085</v>
      </c>
      <c r="AS14" s="99">
        <f t="shared" si="4"/>
        <v>1174.7681878335025</v>
      </c>
      <c r="AT14" s="70">
        <f t="shared" si="4"/>
        <v>0</v>
      </c>
      <c r="AU14" s="70">
        <f t="shared" si="4"/>
        <v>0</v>
      </c>
      <c r="AW14" s="99">
        <f>$B$21*AK14*$Z$9</f>
        <v>0</v>
      </c>
      <c r="AX14" s="99">
        <f t="shared" ref="AX14:BA14" si="5">$B$21*AL14*$Z$9</f>
        <v>0</v>
      </c>
      <c r="AY14" s="99">
        <f t="shared" si="5"/>
        <v>0</v>
      </c>
      <c r="AZ14" s="70">
        <f t="shared" si="5"/>
        <v>0</v>
      </c>
      <c r="BA14" s="70">
        <f t="shared" si="5"/>
        <v>0</v>
      </c>
    </row>
    <row r="15" spans="1:53" ht="15.75" thickBot="1" x14ac:dyDescent="0.3">
      <c r="A15" t="s">
        <v>6</v>
      </c>
      <c r="B15">
        <v>1400</v>
      </c>
      <c r="D15" t="s">
        <v>9</v>
      </c>
      <c r="W15">
        <v>190</v>
      </c>
      <c r="X15" s="4">
        <f>$J$33</f>
        <v>126166.47568522906</v>
      </c>
      <c r="Y15" s="73"/>
      <c r="Z15" s="98">
        <v>58.901232784684893</v>
      </c>
      <c r="AA15" s="30"/>
      <c r="AB15" s="85">
        <v>489.00264272026328</v>
      </c>
      <c r="AC15" s="45"/>
      <c r="AE15" s="78">
        <f t="shared" ref="AE15:AE17" si="6">(Y15*57.325+$X15)/($X15+Y15*57.325+Y$13+$Z$9*57.325)</f>
        <v>0.51802298797456559</v>
      </c>
      <c r="AF15" s="101">
        <f>(Z15*57.325+$X15)/($X15+Z15*57.325+Z$13+$Z$9*57.325)</f>
        <v>0.49961256429317441</v>
      </c>
      <c r="AG15" s="35">
        <f t="shared" ref="AG15:AG17" si="7">(AA15*57.325+$X15)/($X15+AA15*57.325+AA$13+$Z$9*57.325)</f>
        <v>0.47030198856447597</v>
      </c>
      <c r="AH15" s="35">
        <f t="shared" ref="AH15:AH17" si="8">(AB15*57.325+$X15)/($X15+AB15*57.325+AB$13+$Z$9*57.325)</f>
        <v>0.49958128890850373</v>
      </c>
      <c r="AI15" s="81">
        <f t="shared" ref="AI15:AI17" si="9">(AC15*57.325+$X15)/($X15+AC15*57.325+AC$13+$Z$9*57.325)</f>
        <v>0.43063160510604787</v>
      </c>
      <c r="AJ15" s="7"/>
      <c r="AK15" s="79">
        <f t="shared" ref="AK15:AK17" si="10">$B$25/($X15/57.325+Y$13/57.325+Y15+$Z$9)</f>
        <v>1.0877553697602536</v>
      </c>
      <c r="AL15" s="95">
        <f t="shared" ref="AL15:AL17" si="11">$B$25/($X15/57.325+Z$13/57.325+Z15+$Z$9)</f>
        <v>1.021752275359048</v>
      </c>
      <c r="AM15" s="62">
        <f t="shared" ref="AM15:AM17" si="12">$B$25/($X15/57.325+AA$13/57.325+AA15+$Z$9)</f>
        <v>0.98754982953585013</v>
      </c>
      <c r="AN15" s="62">
        <f t="shared" ref="AN15:AN17" si="13">$B$25/($X15/57.325+AB$13/57.325+AB15+$Z$9)</f>
        <v>0.85832555530275323</v>
      </c>
      <c r="AO15" s="59">
        <f t="shared" ref="AO15:AO17" si="14">$B$25/($X15/57.325+AC$13/57.325+AC15+$Z$9)</f>
        <v>0.90424913896983183</v>
      </c>
      <c r="AQ15" s="80">
        <f t="shared" ref="AQ15:AQ17" si="15">$B$21*AK15*Y15</f>
        <v>0</v>
      </c>
      <c r="AR15" s="99">
        <f t="shared" ref="AR15:AR17" si="16">$B$21*AL15*Z15</f>
        <v>150.45617154801187</v>
      </c>
      <c r="AS15" s="69">
        <f t="shared" ref="AS15:AS17" si="17">$B$21*AM15*AA15</f>
        <v>0</v>
      </c>
      <c r="AT15" s="69">
        <f t="shared" ref="AT15:AT17" si="18">$B$21*AN15*AB15</f>
        <v>1049.3086621434595</v>
      </c>
      <c r="AU15" s="70">
        <f t="shared" ref="AU15:AU17" si="19">$B$21*AO15*AC15</f>
        <v>0</v>
      </c>
      <c r="AW15" s="80">
        <f t="shared" ref="AW15:AW17" si="20">$B$21*AK15*$Z$9</f>
        <v>0</v>
      </c>
      <c r="AX15" s="99">
        <f t="shared" ref="AX15:AX17" si="21">$B$21*AL15*$Z$9</f>
        <v>0</v>
      </c>
      <c r="AY15" s="69">
        <f t="shared" ref="AY15:AY17" si="22">$B$21*AM15*$Z$9</f>
        <v>0</v>
      </c>
      <c r="AZ15" s="69">
        <f t="shared" ref="AZ15:AZ17" si="23">$B$21*AN15*$Z$9</f>
        <v>0</v>
      </c>
      <c r="BA15" s="70">
        <f t="shared" ref="BA15:BA17" si="24">$B$21*AO15*$Z$9</f>
        <v>0</v>
      </c>
    </row>
    <row r="16" spans="1:53" ht="15.75" thickBot="1" x14ac:dyDescent="0.3">
      <c r="A16" t="s">
        <v>19</v>
      </c>
      <c r="B16">
        <f>847*2/1000</f>
        <v>1.694</v>
      </c>
      <c r="D16" t="s">
        <v>7</v>
      </c>
      <c r="W16">
        <v>210</v>
      </c>
      <c r="X16" s="4">
        <f>$K$33</f>
        <v>139447.1573363058</v>
      </c>
      <c r="Y16" s="73"/>
      <c r="Z16" s="75"/>
      <c r="AA16" s="30">
        <v>46.143952829528949</v>
      </c>
      <c r="AB16" s="30"/>
      <c r="AC16" s="31">
        <v>474.20356072456411</v>
      </c>
      <c r="AE16" s="78">
        <f t="shared" si="6"/>
        <v>0.54294558719440911</v>
      </c>
      <c r="AF16" s="78">
        <f t="shared" ref="AF16:AF17" si="25">(Z16*57.325+$X16)/($X16+Z16*57.325+Z$13+$Z$9*57.325)</f>
        <v>0.5180229879745657</v>
      </c>
      <c r="AG16" s="35">
        <f t="shared" si="7"/>
        <v>0.49998573926110174</v>
      </c>
      <c r="AH16" s="35">
        <f t="shared" si="8"/>
        <v>0.47446468838950778</v>
      </c>
      <c r="AI16" s="37">
        <f t="shared" si="9"/>
        <v>0.49972602194849725</v>
      </c>
      <c r="AK16" s="79">
        <f t="shared" si="10"/>
        <v>1.031508514716601</v>
      </c>
      <c r="AL16" s="79">
        <f t="shared" si="11"/>
        <v>0.98415962025927695</v>
      </c>
      <c r="AM16" s="105">
        <f t="shared" si="12"/>
        <v>0.93220851749091027</v>
      </c>
      <c r="AN16" s="62">
        <f t="shared" si="13"/>
        <v>0.90140591902608913</v>
      </c>
      <c r="AO16" s="106">
        <f t="shared" si="14"/>
        <v>0.7945160250532356</v>
      </c>
      <c r="AQ16" s="80">
        <f t="shared" si="15"/>
        <v>0</v>
      </c>
      <c r="AR16" s="80">
        <f t="shared" si="16"/>
        <v>0</v>
      </c>
      <c r="AS16" s="69">
        <f t="shared" si="17"/>
        <v>107.53946464596417</v>
      </c>
      <c r="AT16" s="69">
        <f t="shared" si="18"/>
        <v>0</v>
      </c>
      <c r="AU16" s="69">
        <f t="shared" si="19"/>
        <v>941.90582033242833</v>
      </c>
      <c r="AW16" s="80">
        <f t="shared" si="20"/>
        <v>0</v>
      </c>
      <c r="AX16" s="80">
        <f t="shared" si="21"/>
        <v>0</v>
      </c>
      <c r="AY16" s="69">
        <f t="shared" si="22"/>
        <v>0</v>
      </c>
      <c r="AZ16" s="69">
        <f t="shared" si="23"/>
        <v>0</v>
      </c>
      <c r="BA16" s="69">
        <f t="shared" si="24"/>
        <v>0</v>
      </c>
    </row>
    <row r="17" spans="1:53" ht="15.75" thickBot="1" x14ac:dyDescent="0.3">
      <c r="A17" t="s">
        <v>20</v>
      </c>
      <c r="B17">
        <f>817*2/1000</f>
        <v>1.6339999999999999</v>
      </c>
      <c r="D17" t="s">
        <v>7</v>
      </c>
      <c r="W17">
        <v>230</v>
      </c>
      <c r="X17" s="4">
        <f>$L$33</f>
        <v>152727.83898738254</v>
      </c>
      <c r="Y17" s="74"/>
      <c r="Z17" s="76"/>
      <c r="AA17" s="76"/>
      <c r="AB17" s="66">
        <v>25.51</v>
      </c>
      <c r="AC17" s="34">
        <v>244.70331417396855</v>
      </c>
      <c r="AE17" s="77">
        <f t="shared" si="6"/>
        <v>0.56541746071593513</v>
      </c>
      <c r="AF17" s="77">
        <f t="shared" si="25"/>
        <v>0.54068360251285186</v>
      </c>
      <c r="AG17" s="77">
        <f t="shared" si="7"/>
        <v>0.5180229879745657</v>
      </c>
      <c r="AH17" s="38">
        <f t="shared" si="8"/>
        <v>0.49956774685211081</v>
      </c>
      <c r="AI17" s="39">
        <f t="shared" si="9"/>
        <v>0.49991286224961762</v>
      </c>
      <c r="AK17" s="79">
        <f t="shared" si="10"/>
        <v>0.98079260818634639</v>
      </c>
      <c r="AL17" s="79">
        <f t="shared" si="11"/>
        <v>0.93788840556975828</v>
      </c>
      <c r="AM17" s="79">
        <f t="shared" si="12"/>
        <v>0.89858052284542678</v>
      </c>
      <c r="AN17" s="62">
        <f t="shared" si="13"/>
        <v>0.85834878283764704</v>
      </c>
      <c r="AO17" s="62">
        <f t="shared" si="14"/>
        <v>0.79421929242295963</v>
      </c>
      <c r="AQ17" s="80">
        <f t="shared" si="15"/>
        <v>0</v>
      </c>
      <c r="AR17" s="80">
        <f t="shared" si="16"/>
        <v>0</v>
      </c>
      <c r="AS17" s="80">
        <f t="shared" si="17"/>
        <v>0</v>
      </c>
      <c r="AT17" s="69">
        <f t="shared" si="18"/>
        <v>54.741193625470935</v>
      </c>
      <c r="AU17" s="69">
        <f t="shared" si="19"/>
        <v>485.87023259200623</v>
      </c>
      <c r="AW17" s="80">
        <f t="shared" si="20"/>
        <v>0</v>
      </c>
      <c r="AX17" s="80">
        <f t="shared" si="21"/>
        <v>0</v>
      </c>
      <c r="AY17" s="80">
        <f t="shared" si="22"/>
        <v>0</v>
      </c>
      <c r="AZ17" s="69">
        <f t="shared" si="23"/>
        <v>0</v>
      </c>
      <c r="BA17" s="69">
        <f t="shared" si="24"/>
        <v>0</v>
      </c>
    </row>
    <row r="18" spans="1:53" x14ac:dyDescent="0.25">
      <c r="A18" t="s">
        <v>16</v>
      </c>
      <c r="B18">
        <f>(B17+B16)/2</f>
        <v>1.6639999999999999</v>
      </c>
      <c r="D18" t="s">
        <v>7</v>
      </c>
    </row>
    <row r="19" spans="1:53" x14ac:dyDescent="0.25">
      <c r="A19" t="s">
        <v>17</v>
      </c>
      <c r="B19">
        <v>1.47</v>
      </c>
      <c r="D19" t="s">
        <v>18</v>
      </c>
    </row>
    <row r="21" spans="1:53" x14ac:dyDescent="0.25">
      <c r="A21" s="5" t="s">
        <v>25</v>
      </c>
      <c r="B21" s="5">
        <v>2.5</v>
      </c>
      <c r="C21" s="5" t="s">
        <v>27</v>
      </c>
    </row>
    <row r="22" spans="1:53" x14ac:dyDescent="0.25">
      <c r="A22" s="5" t="s">
        <v>26</v>
      </c>
      <c r="B22" s="5">
        <f>C24*B21</f>
        <v>2</v>
      </c>
      <c r="C22" s="5" t="s">
        <v>22</v>
      </c>
      <c r="S22" s="3"/>
      <c r="W22" t="s">
        <v>40</v>
      </c>
      <c r="Z22">
        <v>300</v>
      </c>
      <c r="AA22" t="s">
        <v>41</v>
      </c>
    </row>
    <row r="23" spans="1:53" ht="15.75" thickBot="1" x14ac:dyDescent="0.3">
      <c r="W23" t="s">
        <v>36</v>
      </c>
      <c r="Z23" s="7">
        <v>0.5</v>
      </c>
    </row>
    <row r="24" spans="1:53" ht="15.75" thickBot="1" x14ac:dyDescent="0.3">
      <c r="A24" s="119" t="s">
        <v>5</v>
      </c>
      <c r="B24" s="119"/>
      <c r="C24" s="26">
        <v>0.8</v>
      </c>
      <c r="D24" s="9" t="s">
        <v>10</v>
      </c>
      <c r="E24" s="9">
        <f>C24*PI()/180</f>
        <v>1.3962634015954637E-2</v>
      </c>
      <c r="F24" s="9" t="s">
        <v>15</v>
      </c>
      <c r="AD24" s="4"/>
    </row>
    <row r="25" spans="1:53" x14ac:dyDescent="0.25">
      <c r="A25" t="s">
        <v>14</v>
      </c>
      <c r="B25">
        <f>B10*B14*B15</f>
        <v>4621.4910000000009</v>
      </c>
      <c r="C25" t="s">
        <v>23</v>
      </c>
      <c r="W25" t="s">
        <v>37</v>
      </c>
      <c r="Y25">
        <f>Q$31</f>
        <v>190</v>
      </c>
      <c r="Z25">
        <f t="shared" ref="Z25" si="26">R$31</f>
        <v>210</v>
      </c>
      <c r="AA25">
        <f t="shared" ref="AA25" si="27">S$31</f>
        <v>230</v>
      </c>
      <c r="AB25">
        <f t="shared" ref="AB25" si="28">T$31</f>
        <v>250</v>
      </c>
      <c r="AC25">
        <f t="shared" ref="AC25" si="29">U$31</f>
        <v>270</v>
      </c>
      <c r="AE25" s="7" t="s">
        <v>38</v>
      </c>
      <c r="AF25" s="7"/>
      <c r="AG25" s="7"/>
      <c r="AH25" s="7"/>
      <c r="AI25" s="7"/>
      <c r="AJ25" s="7"/>
      <c r="AK25" t="s">
        <v>39</v>
      </c>
      <c r="AQ25" t="s">
        <v>43</v>
      </c>
      <c r="AW25" t="s">
        <v>44</v>
      </c>
    </row>
    <row r="26" spans="1:53" x14ac:dyDescent="0.25">
      <c r="A26" t="s">
        <v>33</v>
      </c>
      <c r="B26" s="4">
        <f>B25/E24</f>
        <v>330989.91169711796</v>
      </c>
      <c r="C26" t="s">
        <v>21</v>
      </c>
      <c r="D26" s="114" t="s">
        <v>34</v>
      </c>
      <c r="E26" s="114"/>
      <c r="F26" s="8"/>
      <c r="Y26" s="4">
        <f>Q$33</f>
        <v>117387.34067827118</v>
      </c>
      <c r="Z26" s="4">
        <f t="shared" ref="Z26" si="30">R$33</f>
        <v>129743.90285493129</v>
      </c>
      <c r="AA26" s="4">
        <f t="shared" ref="AA26" si="31">S$33</f>
        <v>142100.46503159142</v>
      </c>
      <c r="AB26" s="4">
        <f t="shared" ref="AB26" si="32">T$33</f>
        <v>154457.02720825156</v>
      </c>
      <c r="AC26" s="4">
        <f t="shared" ref="AC26" si="33">U$33</f>
        <v>166813.5893849117</v>
      </c>
      <c r="AE26" s="7"/>
      <c r="AF26" s="7"/>
      <c r="AG26" s="7"/>
      <c r="AH26" s="7"/>
      <c r="AI26" s="7"/>
      <c r="AJ26" s="7"/>
    </row>
    <row r="27" spans="1:53" ht="15.75" thickBot="1" x14ac:dyDescent="0.3">
      <c r="W27">
        <v>170</v>
      </c>
      <c r="X27" s="4">
        <f>$I$33</f>
        <v>112885.79403415232</v>
      </c>
      <c r="Y27" s="97">
        <v>378.14602062976297</v>
      </c>
      <c r="Z27" s="28">
        <v>593.57037664814823</v>
      </c>
      <c r="AA27" s="82">
        <v>806.48920493326057</v>
      </c>
      <c r="AB27" s="41"/>
      <c r="AC27" s="42">
        <v>1237.126210636668</v>
      </c>
      <c r="AE27" s="95">
        <f>(Y27*57.325+$X27)/($X27+Y27*57.325+Y$26+$Z$22*57.325)</f>
        <v>0.49995945349166959</v>
      </c>
      <c r="AF27" s="39">
        <f t="shared" ref="AF27:AI30" si="34">(Z27*57.325+$X27)/($X27+Z27*57.325+Z$26+$Z$22*57.325)</f>
        <v>0.49995033755318385</v>
      </c>
      <c r="AG27" s="39">
        <f t="shared" si="34"/>
        <v>0.49971707221911871</v>
      </c>
      <c r="AH27" s="59">
        <f t="shared" si="34"/>
        <v>0.39673039497970952</v>
      </c>
      <c r="AI27" s="59">
        <f t="shared" si="34"/>
        <v>0.49971856062793674</v>
      </c>
      <c r="AJ27" s="7"/>
      <c r="AK27" s="95">
        <f>$B$25/($X27/57.325+Y$26/57.325+Y27+$Z$22)</f>
        <v>0.98431760206815011</v>
      </c>
      <c r="AL27" s="62">
        <f t="shared" ref="AL27:AO30" si="35">$B$25/($X27/57.325+Z$26/57.325+Z27+$Z$22)</f>
        <v>0.9015610313719703</v>
      </c>
      <c r="AM27" s="62">
        <f t="shared" si="35"/>
        <v>0.83201590780760315</v>
      </c>
      <c r="AN27" s="59">
        <f t="shared" si="35"/>
        <v>0.93107005157734757</v>
      </c>
      <c r="AO27" s="59">
        <f t="shared" si="35"/>
        <v>0.720272061379853</v>
      </c>
      <c r="AQ27" s="99">
        <f>$B$21*AK27*Y27</f>
        <v>930.53946064475372</v>
      </c>
      <c r="AR27" s="69">
        <f t="shared" ref="AR27:AU30" si="36">$B$21*AL27*Z27</f>
        <v>1337.8498024068836</v>
      </c>
      <c r="AS27" s="69">
        <f t="shared" si="36"/>
        <v>1677.5296199489471</v>
      </c>
      <c r="AT27" s="70">
        <f t="shared" si="36"/>
        <v>0</v>
      </c>
      <c r="AU27" s="70">
        <f t="shared" si="36"/>
        <v>2227.6686148057975</v>
      </c>
      <c r="AW27" s="99">
        <f>$B$21*AK27*$Z$22</f>
        <v>738.23820155111252</v>
      </c>
      <c r="AX27" s="70">
        <f>$B$21*AL27*$Z$22</f>
        <v>676.17077352897775</v>
      </c>
      <c r="AY27" s="70">
        <f>$B$21*AM27*$Z$22</f>
        <v>624.0119308557023</v>
      </c>
      <c r="AZ27" s="70">
        <f>$B$21*AN27*$Z$22</f>
        <v>698.30253868301065</v>
      </c>
      <c r="BA27" s="70">
        <f>$B$21*AO27*$Z$22</f>
        <v>540.20404603488976</v>
      </c>
    </row>
    <row r="28" spans="1:53" ht="15.75" thickBot="1" x14ac:dyDescent="0.3">
      <c r="A28" s="1"/>
      <c r="B28" s="1"/>
      <c r="C28" s="1"/>
      <c r="W28">
        <v>190</v>
      </c>
      <c r="X28" s="4">
        <f>$J$33</f>
        <v>126166.47568522906</v>
      </c>
      <c r="Y28" s="100">
        <v>145.94923756522687</v>
      </c>
      <c r="Z28" s="55">
        <v>354.40359003960037</v>
      </c>
      <c r="AA28" s="30">
        <v>577.60805884619458</v>
      </c>
      <c r="AB28" s="30">
        <v>791.0833607607982</v>
      </c>
      <c r="AC28" s="45">
        <v>1008.5193999772579</v>
      </c>
      <c r="AE28" s="95">
        <f t="shared" ref="AE28:AE30" si="37">(Y28*57.325+$X28)/($X28+Y28*57.325+Y$26+$Z$22*57.325)</f>
        <v>0.4999037132832666</v>
      </c>
      <c r="AF28" s="39">
        <f t="shared" si="34"/>
        <v>0.49921829627076553</v>
      </c>
      <c r="AG28" s="39">
        <f t="shared" si="34"/>
        <v>0.49996844177810723</v>
      </c>
      <c r="AH28" s="39">
        <f t="shared" si="34"/>
        <v>0.49979718809103818</v>
      </c>
      <c r="AI28" s="59">
        <f t="shared" si="34"/>
        <v>0.49995755453107898</v>
      </c>
      <c r="AJ28" s="7"/>
      <c r="AK28" s="95">
        <f t="shared" ref="AK28:AK30" si="38">$B$25/($X28/57.325+Y$26/57.325+Y28+$Z$22)</f>
        <v>0.98442732530690991</v>
      </c>
      <c r="AL28" s="105">
        <f t="shared" si="35"/>
        <v>0.9028808600672934</v>
      </c>
      <c r="AM28" s="62">
        <f t="shared" si="35"/>
        <v>0.83159785742010595</v>
      </c>
      <c r="AN28" s="62">
        <f t="shared" si="35"/>
        <v>0.77199954051646136</v>
      </c>
      <c r="AO28" s="59">
        <f t="shared" si="35"/>
        <v>0.71992797379689266</v>
      </c>
      <c r="AQ28" s="99">
        <f t="shared" ref="AQ28:AQ30" si="39">$B$21*AK28*Y28</f>
        <v>359.19104391729769</v>
      </c>
      <c r="AR28" s="69">
        <f t="shared" si="36"/>
        <v>799.96054546472703</v>
      </c>
      <c r="AS28" s="69">
        <f t="shared" si="36"/>
        <v>1200.8440604127047</v>
      </c>
      <c r="AT28" s="69">
        <f t="shared" si="36"/>
        <v>1526.7899775438857</v>
      </c>
      <c r="AU28" s="70">
        <f t="shared" si="36"/>
        <v>1815.153320401213</v>
      </c>
      <c r="AW28" s="99">
        <f t="shared" ref="AW28:AW30" si="40">$B$21*AK28*$Z$22</f>
        <v>738.32049398018239</v>
      </c>
      <c r="AX28" s="70">
        <f t="shared" ref="AX28:BA30" si="41">$B$21*AL28*$Z$22</f>
        <v>677.16064505046995</v>
      </c>
      <c r="AY28" s="70">
        <f t="shared" si="41"/>
        <v>623.69839306507947</v>
      </c>
      <c r="AZ28" s="70">
        <f t="shared" si="41"/>
        <v>578.99965538734602</v>
      </c>
      <c r="BA28" s="70">
        <f t="shared" si="41"/>
        <v>539.94598034766955</v>
      </c>
    </row>
    <row r="29" spans="1:53" ht="15.75" thickBot="1" x14ac:dyDescent="0.3">
      <c r="E29" s="2"/>
      <c r="W29">
        <v>210</v>
      </c>
      <c r="X29" s="4">
        <f>$K$33</f>
        <v>139447.1573363058</v>
      </c>
      <c r="Y29" s="73"/>
      <c r="Z29" s="48">
        <v>130.29584859740785</v>
      </c>
      <c r="AA29" s="30">
        <v>340.06902069840788</v>
      </c>
      <c r="AB29" s="30">
        <v>552.74736728475341</v>
      </c>
      <c r="AC29" s="31">
        <v>775.50317845862139</v>
      </c>
      <c r="AE29" s="79">
        <f t="shared" si="37"/>
        <v>0.5088718045579772</v>
      </c>
      <c r="AF29" s="39">
        <f t="shared" si="34"/>
        <v>0.49995740116416926</v>
      </c>
      <c r="AG29" s="39">
        <f t="shared" si="34"/>
        <v>0.49944012136250909</v>
      </c>
      <c r="AH29" s="39">
        <f t="shared" si="34"/>
        <v>0.49923986960926653</v>
      </c>
      <c r="AI29" s="39">
        <f t="shared" si="34"/>
        <v>0.49985293797825003</v>
      </c>
      <c r="AK29" s="79">
        <f t="shared" si="38"/>
        <v>0.96677385668263249</v>
      </c>
      <c r="AL29" s="62">
        <f t="shared" si="35"/>
        <v>0.90154829608409093</v>
      </c>
      <c r="AM29" s="62">
        <f t="shared" si="35"/>
        <v>0.83247650221445657</v>
      </c>
      <c r="AN29" s="62">
        <f t="shared" si="35"/>
        <v>0.77285969084270012</v>
      </c>
      <c r="AO29" s="106">
        <f t="shared" si="35"/>
        <v>0.7200785937764288</v>
      </c>
      <c r="AQ29" s="80">
        <f t="shared" si="39"/>
        <v>0</v>
      </c>
      <c r="AR29" s="69">
        <f t="shared" si="36"/>
        <v>293.67000072455937</v>
      </c>
      <c r="AS29" s="69">
        <f t="shared" si="36"/>
        <v>707.74867215626557</v>
      </c>
      <c r="AT29" s="69">
        <f t="shared" si="36"/>
        <v>1067.9903984845273</v>
      </c>
      <c r="AU29" s="69">
        <f t="shared" si="36"/>
        <v>1396.0580955340874</v>
      </c>
      <c r="AW29" s="80">
        <f t="shared" si="40"/>
        <v>725.08039251197431</v>
      </c>
      <c r="AX29" s="70">
        <f t="shared" si="41"/>
        <v>676.16122206306818</v>
      </c>
      <c r="AY29" s="70">
        <f t="shared" si="41"/>
        <v>624.35737666084253</v>
      </c>
      <c r="AZ29" s="69">
        <f t="shared" si="41"/>
        <v>579.64476813202509</v>
      </c>
      <c r="BA29" s="69">
        <f t="shared" si="41"/>
        <v>540.05894533232163</v>
      </c>
    </row>
    <row r="30" spans="1:53" ht="15.75" thickBot="1" x14ac:dyDescent="0.3">
      <c r="H30" s="2" t="s">
        <v>11</v>
      </c>
      <c r="I30" s="2"/>
      <c r="J30" t="s">
        <v>13</v>
      </c>
      <c r="P30" s="2" t="s">
        <v>12</v>
      </c>
      <c r="Q30" s="2"/>
      <c r="R30" t="s">
        <v>13</v>
      </c>
      <c r="W30">
        <v>230</v>
      </c>
      <c r="X30" s="4">
        <f>$L$33</f>
        <v>152727.83898738254</v>
      </c>
      <c r="Y30" s="74"/>
      <c r="Z30" s="76"/>
      <c r="AA30" s="67">
        <v>114.47651594317674</v>
      </c>
      <c r="AB30" s="55">
        <v>325.39058301336593</v>
      </c>
      <c r="AC30" s="34"/>
      <c r="AE30" s="79">
        <f t="shared" si="37"/>
        <v>0.53157361229275435</v>
      </c>
      <c r="AF30" s="79">
        <f t="shared" si="34"/>
        <v>0.50965470479532238</v>
      </c>
      <c r="AG30" s="39">
        <f t="shared" si="34"/>
        <v>0.49998782163229871</v>
      </c>
      <c r="AH30" s="39">
        <f t="shared" si="34"/>
        <v>0.49960110084193454</v>
      </c>
      <c r="AI30" s="39">
        <f t="shared" si="34"/>
        <v>0.45354969716637156</v>
      </c>
      <c r="AK30" s="79">
        <f t="shared" si="38"/>
        <v>0.92208590265941648</v>
      </c>
      <c r="AL30" s="79">
        <f t="shared" si="35"/>
        <v>0.88406461052284058</v>
      </c>
      <c r="AM30" s="62">
        <f t="shared" si="35"/>
        <v>0.83156562696393221</v>
      </c>
      <c r="AN30" s="62">
        <f t="shared" si="35"/>
        <v>0.77230217629260078</v>
      </c>
      <c r="AO30" s="62">
        <f t="shared" si="35"/>
        <v>0.78674293125415018</v>
      </c>
      <c r="AQ30" s="80">
        <f t="shared" si="39"/>
        <v>0</v>
      </c>
      <c r="AR30" s="80">
        <f t="shared" si="36"/>
        <v>0</v>
      </c>
      <c r="AS30" s="69">
        <f t="shared" si="36"/>
        <v>237.98683938233589</v>
      </c>
      <c r="AT30" s="69">
        <f t="shared" si="36"/>
        <v>628.24963851585176</v>
      </c>
      <c r="AU30" s="69">
        <f t="shared" si="36"/>
        <v>0</v>
      </c>
      <c r="AW30" s="80">
        <f t="shared" si="40"/>
        <v>691.56442699456227</v>
      </c>
      <c r="AX30" s="80">
        <f t="shared" si="41"/>
        <v>663.04845789213039</v>
      </c>
      <c r="AY30" s="70">
        <f t="shared" si="41"/>
        <v>623.6742202229492</v>
      </c>
      <c r="AZ30" s="69">
        <f t="shared" si="41"/>
        <v>579.22663221945061</v>
      </c>
      <c r="BA30" s="69">
        <f t="shared" si="41"/>
        <v>590.05719844061264</v>
      </c>
    </row>
    <row r="31" spans="1:53" x14ac:dyDescent="0.25">
      <c r="I31">
        <v>170</v>
      </c>
      <c r="J31">
        <v>190</v>
      </c>
      <c r="K31">
        <v>210</v>
      </c>
      <c r="L31">
        <v>230</v>
      </c>
      <c r="Q31">
        <v>190</v>
      </c>
      <c r="R31">
        <v>210</v>
      </c>
      <c r="S31">
        <v>230</v>
      </c>
      <c r="T31">
        <v>250</v>
      </c>
      <c r="U31">
        <v>270</v>
      </c>
    </row>
    <row r="32" spans="1:53" x14ac:dyDescent="0.25">
      <c r="H32" s="2" t="s">
        <v>11</v>
      </c>
      <c r="I32" s="2"/>
      <c r="J32" t="s">
        <v>21</v>
      </c>
      <c r="P32" s="2" t="s">
        <v>12</v>
      </c>
      <c r="Q32" s="2"/>
      <c r="R32" t="s">
        <v>21</v>
      </c>
    </row>
    <row r="33" spans="6:53" x14ac:dyDescent="0.25">
      <c r="I33" s="4">
        <f>10^3*I$31*($B$16/$B$19)^2/2*TAN($E$24)/$E$24</f>
        <v>112885.79403415232</v>
      </c>
      <c r="J33" s="4">
        <f>10^3*J$31*($B$16/$B$19)^2/2*TAN($E$24)/$E$24</f>
        <v>126166.47568522906</v>
      </c>
      <c r="K33" s="4">
        <f>10^3*K$31*($B$16/$B$19)^2/2*TAN($E$24)/$E$24</f>
        <v>139447.1573363058</v>
      </c>
      <c r="L33" s="4">
        <f>10^3*L$31*($B$16/$B$19)^2/2*TAN($E$24)/$E$24</f>
        <v>152727.83898738254</v>
      </c>
      <c r="Q33" s="4">
        <f>10^3*Q$31*($B$17/$B$19)^2/2*TAN($E$24)/$E$24</f>
        <v>117387.34067827118</v>
      </c>
      <c r="R33" s="4">
        <f>10^3*R$31*($B$17/$B$19)^2/2*TAN($E$24)/$E$24</f>
        <v>129743.90285493129</v>
      </c>
      <c r="S33" s="4">
        <f t="shared" ref="S33:U33" si="42">10^3*S$31*($B$17/$B$19)^2/2*TAN($E$24)/$E$24</f>
        <v>142100.46503159142</v>
      </c>
      <c r="T33" s="4">
        <f t="shared" si="42"/>
        <v>154457.02720825156</v>
      </c>
      <c r="U33" s="4">
        <f t="shared" si="42"/>
        <v>166813.5893849117</v>
      </c>
      <c r="V33" s="4"/>
    </row>
    <row r="35" spans="6:53" ht="15.75" thickBot="1" x14ac:dyDescent="0.3">
      <c r="W35" t="s">
        <v>40</v>
      </c>
      <c r="Z35">
        <v>300</v>
      </c>
      <c r="AA35" t="s">
        <v>41</v>
      </c>
    </row>
    <row r="36" spans="6:53" x14ac:dyDescent="0.25">
      <c r="F36" s="115" t="s">
        <v>30</v>
      </c>
      <c r="G36" s="116"/>
      <c r="H36" s="116"/>
      <c r="I36" s="113" t="s">
        <v>11</v>
      </c>
      <c r="J36" s="113"/>
      <c r="K36" s="10" t="s">
        <v>21</v>
      </c>
      <c r="L36" s="11"/>
      <c r="N36" s="109" t="s">
        <v>31</v>
      </c>
      <c r="O36" s="110"/>
      <c r="P36" s="110"/>
      <c r="Q36" s="113" t="s">
        <v>12</v>
      </c>
      <c r="R36" s="113"/>
      <c r="S36" s="10" t="s">
        <v>21</v>
      </c>
      <c r="T36" s="10"/>
      <c r="U36" s="11"/>
      <c r="W36" t="s">
        <v>36</v>
      </c>
      <c r="Z36" s="7">
        <v>0.6</v>
      </c>
    </row>
    <row r="37" spans="6:53" x14ac:dyDescent="0.25">
      <c r="F37" s="117"/>
      <c r="G37" s="118"/>
      <c r="H37" s="118"/>
      <c r="I37" s="12">
        <f>I33</f>
        <v>112885.79403415232</v>
      </c>
      <c r="J37" s="12">
        <f>J33</f>
        <v>126166.47568522906</v>
      </c>
      <c r="K37" s="12">
        <f>K33</f>
        <v>139447.1573363058</v>
      </c>
      <c r="L37" s="13">
        <f>L33</f>
        <v>152727.83898738254</v>
      </c>
      <c r="M37" s="4"/>
      <c r="N37" s="111"/>
      <c r="O37" s="112"/>
      <c r="P37" s="112"/>
      <c r="Q37" s="12">
        <f>Q33</f>
        <v>117387.34067827118</v>
      </c>
      <c r="R37" s="12">
        <f>R33</f>
        <v>129743.90285493129</v>
      </c>
      <c r="S37" s="12">
        <f>S33</f>
        <v>142100.46503159142</v>
      </c>
      <c r="T37" s="12">
        <f>T33</f>
        <v>154457.02720825156</v>
      </c>
      <c r="U37" s="13">
        <f>U33</f>
        <v>166813.5893849117</v>
      </c>
      <c r="AD37" s="4"/>
    </row>
    <row r="38" spans="6:53" x14ac:dyDescent="0.25">
      <c r="F38" s="107" t="s">
        <v>35</v>
      </c>
      <c r="G38" s="108"/>
      <c r="H38" s="14">
        <v>0.45</v>
      </c>
      <c r="I38" s="15">
        <f t="shared" ref="I38:L42" si="43">($H38*$B$26-I$37)*PI()/180</f>
        <v>629.35990287587003</v>
      </c>
      <c r="J38" s="15">
        <f t="shared" si="43"/>
        <v>397.56828115538423</v>
      </c>
      <c r="K38" s="15">
        <f t="shared" si="43"/>
        <v>165.77665943489842</v>
      </c>
      <c r="L38" s="16">
        <f t="shared" si="43"/>
        <v>-66.014962285587387</v>
      </c>
      <c r="N38" s="107" t="s">
        <v>32</v>
      </c>
      <c r="O38" s="108"/>
      <c r="P38" s="14">
        <f>1-H38</f>
        <v>0.55000000000000004</v>
      </c>
      <c r="Q38" s="22">
        <f t="shared" ref="Q38:U42" si="44">($P38*$B$26-Q$37)*PI()/180</f>
        <v>1128.4794675038947</v>
      </c>
      <c r="R38" s="22">
        <f t="shared" si="44"/>
        <v>912.81677329377851</v>
      </c>
      <c r="S38" s="22">
        <f t="shared" si="44"/>
        <v>697.15407908366217</v>
      </c>
      <c r="T38" s="22">
        <f t="shared" si="44"/>
        <v>481.49138487354554</v>
      </c>
      <c r="U38" s="23">
        <f t="shared" si="44"/>
        <v>265.82869066342886</v>
      </c>
      <c r="W38" t="s">
        <v>37</v>
      </c>
      <c r="Y38">
        <f>Q$31</f>
        <v>190</v>
      </c>
      <c r="Z38">
        <f t="shared" ref="Z38" si="45">R$31</f>
        <v>210</v>
      </c>
      <c r="AA38">
        <f t="shared" ref="AA38" si="46">S$31</f>
        <v>230</v>
      </c>
      <c r="AB38">
        <f t="shared" ref="AB38" si="47">T$31</f>
        <v>250</v>
      </c>
      <c r="AC38">
        <f t="shared" ref="AC38" si="48">U$31</f>
        <v>270</v>
      </c>
      <c r="AE38" s="7" t="s">
        <v>38</v>
      </c>
      <c r="AF38" s="7"/>
      <c r="AG38" s="7"/>
      <c r="AH38" s="7"/>
      <c r="AI38" s="7"/>
      <c r="AJ38" s="7"/>
      <c r="AK38" t="s">
        <v>39</v>
      </c>
      <c r="AQ38" t="s">
        <v>43</v>
      </c>
      <c r="AW38" t="s">
        <v>44</v>
      </c>
    </row>
    <row r="39" spans="6:53" x14ac:dyDescent="0.25">
      <c r="F39" s="17"/>
      <c r="G39" s="14"/>
      <c r="H39" s="14">
        <f>H38+0.05</f>
        <v>0.5</v>
      </c>
      <c r="I39" s="15">
        <f t="shared" si="43"/>
        <v>918.20309037587015</v>
      </c>
      <c r="J39" s="15">
        <f t="shared" si="43"/>
        <v>686.4114686553844</v>
      </c>
      <c r="K39" s="15">
        <f t="shared" si="43"/>
        <v>454.61984693489859</v>
      </c>
      <c r="L39" s="16">
        <f t="shared" si="43"/>
        <v>222.82822521441275</v>
      </c>
      <c r="N39" s="17"/>
      <c r="O39" s="14"/>
      <c r="P39" s="14">
        <f t="shared" ref="P39:P42" si="49">1-H39</f>
        <v>0.5</v>
      </c>
      <c r="Q39" s="22">
        <f t="shared" si="44"/>
        <v>839.63628000389463</v>
      </c>
      <c r="R39" s="22">
        <f t="shared" si="44"/>
        <v>623.97358579377851</v>
      </c>
      <c r="S39" s="22">
        <f t="shared" si="44"/>
        <v>408.31089158366206</v>
      </c>
      <c r="T39" s="22">
        <f t="shared" si="44"/>
        <v>192.6481973735454</v>
      </c>
      <c r="U39" s="23">
        <f t="shared" si="44"/>
        <v>-23.014496836571261</v>
      </c>
      <c r="Y39" s="4">
        <f>Q$33</f>
        <v>117387.34067827118</v>
      </c>
      <c r="Z39" s="4">
        <f t="shared" ref="Z39" si="50">R$33</f>
        <v>129743.90285493129</v>
      </c>
      <c r="AA39" s="4">
        <f t="shared" ref="AA39" si="51">S$33</f>
        <v>142100.46503159142</v>
      </c>
      <c r="AB39" s="4">
        <f t="shared" ref="AB39" si="52">T$33</f>
        <v>154457.02720825156</v>
      </c>
      <c r="AC39" s="4">
        <f t="shared" ref="AC39" si="53">U$33</f>
        <v>166813.5893849117</v>
      </c>
      <c r="AE39" s="7"/>
      <c r="AF39" s="7"/>
      <c r="AG39" s="7"/>
      <c r="AH39" s="7"/>
      <c r="AI39" s="7"/>
      <c r="AJ39" s="7"/>
    </row>
    <row r="40" spans="6:53" ht="15.75" thickBot="1" x14ac:dyDescent="0.3">
      <c r="F40" s="17"/>
      <c r="G40" s="14"/>
      <c r="H40" s="14">
        <f t="shared" ref="H40:H42" si="54">H39+0.05</f>
        <v>0.55000000000000004</v>
      </c>
      <c r="I40" s="15">
        <f t="shared" si="43"/>
        <v>1207.0462778758704</v>
      </c>
      <c r="J40" s="15">
        <f t="shared" si="43"/>
        <v>975.25465615538451</v>
      </c>
      <c r="K40" s="15">
        <f t="shared" si="43"/>
        <v>743.46303443489876</v>
      </c>
      <c r="L40" s="16">
        <f t="shared" si="43"/>
        <v>511.6714127144129</v>
      </c>
      <c r="N40" s="17"/>
      <c r="O40" s="14"/>
      <c r="P40" s="14">
        <f t="shared" si="49"/>
        <v>0.44999999999999996</v>
      </c>
      <c r="Q40" s="22">
        <f t="shared" si="44"/>
        <v>550.79309250389451</v>
      </c>
      <c r="R40" s="22">
        <f t="shared" si="44"/>
        <v>335.13039829377834</v>
      </c>
      <c r="S40" s="22">
        <f t="shared" si="44"/>
        <v>119.46770408366191</v>
      </c>
      <c r="T40" s="22">
        <f t="shared" si="44"/>
        <v>-96.194990126454726</v>
      </c>
      <c r="U40" s="23">
        <f t="shared" si="44"/>
        <v>-311.85768433657142</v>
      </c>
      <c r="W40">
        <v>170</v>
      </c>
      <c r="X40" s="4">
        <f>$I$33</f>
        <v>112885.79403415232</v>
      </c>
      <c r="Y40" s="60">
        <v>1551.951633187384</v>
      </c>
      <c r="Z40" s="61"/>
      <c r="AA40" s="61">
        <v>2190.0441777064138</v>
      </c>
      <c r="AB40" s="41"/>
      <c r="AC40" s="42">
        <v>2843.9079030698372</v>
      </c>
      <c r="AD40" s="3"/>
      <c r="AE40" s="62">
        <f>(Y40*57.325+$X40)/($X40+Y40*57.325+Y$39+$Z$35*57.325)</f>
        <v>0.59996927844742121</v>
      </c>
      <c r="AF40" s="62">
        <f t="shared" ref="AF40:AI43" si="55">(Z40*57.325+$X40)/($X40+Z40*57.325+Z$39+$Z$35*57.325)</f>
        <v>0.43446488814772383</v>
      </c>
      <c r="AG40" s="62">
        <f t="shared" si="55"/>
        <v>0.59948017642990747</v>
      </c>
      <c r="AH40" s="59">
        <f t="shared" si="55"/>
        <v>0.39673039497970952</v>
      </c>
      <c r="AI40" s="59">
        <f>(AC40*57.325+$X40)/($X40+AC40*57.325+AC$39+$Z$35*57.325)</f>
        <v>0.59990970723735615</v>
      </c>
      <c r="AJ40" s="63"/>
      <c r="AK40" s="62">
        <f>$B$25/($X40/57.325+Y$39/57.325+Y40+$Z$35)</f>
        <v>0.78745070443135867</v>
      </c>
      <c r="AL40" s="62">
        <f t="shared" ref="AL40:AO43" si="56">$B$25/($X40/57.325+Z$39/57.325+Z40+$Z$35)</f>
        <v>1.0196275630379581</v>
      </c>
      <c r="AM40" s="62">
        <f t="shared" si="56"/>
        <v>0.66610081235585694</v>
      </c>
      <c r="AN40" s="59">
        <f t="shared" si="56"/>
        <v>0.93107005157734757</v>
      </c>
      <c r="AO40" s="59">
        <f t="shared" si="56"/>
        <v>0.57602348843467921</v>
      </c>
      <c r="AP40" s="3"/>
      <c r="AQ40" s="69">
        <f>$B$21*AK40*Y40</f>
        <v>3055.213516992008</v>
      </c>
      <c r="AR40" s="69">
        <f t="shared" ref="AR40:AR43" si="57">$B$21*AL40*Z40</f>
        <v>0</v>
      </c>
      <c r="AS40" s="69">
        <f t="shared" ref="AS40:AS43" si="58">$B$21*AM40*AA40</f>
        <v>3646.9755146636426</v>
      </c>
      <c r="AT40" s="70">
        <f t="shared" ref="AT40:AT43" si="59">$B$21*AN40*AB40</f>
        <v>0</v>
      </c>
      <c r="AU40" s="70">
        <f t="shared" ref="AU40:AU43" si="60">$B$21*AO40*AC40</f>
        <v>4095.3943777831028</v>
      </c>
      <c r="AV40" s="3"/>
      <c r="AW40" s="69">
        <f>$B$21*AK40*$Z$35</f>
        <v>590.58802832351898</v>
      </c>
      <c r="AX40" s="69">
        <f t="shared" ref="AX40:BA43" si="61">$B$21*AL40*$Z$35</f>
        <v>764.72067227846856</v>
      </c>
      <c r="AY40" s="69">
        <f t="shared" si="61"/>
        <v>499.57560926689268</v>
      </c>
      <c r="AZ40" s="70">
        <f t="shared" si="61"/>
        <v>698.30253868301065</v>
      </c>
      <c r="BA40" s="70">
        <f t="shared" si="61"/>
        <v>432.01761632600937</v>
      </c>
    </row>
    <row r="41" spans="6:53" ht="15.75" thickBot="1" x14ac:dyDescent="0.3">
      <c r="F41" s="17"/>
      <c r="G41" s="14"/>
      <c r="H41" s="14">
        <f t="shared" si="54"/>
        <v>0.60000000000000009</v>
      </c>
      <c r="I41" s="15">
        <f t="shared" si="43"/>
        <v>1495.8894653758709</v>
      </c>
      <c r="J41" s="15">
        <f t="shared" si="43"/>
        <v>1264.0978436553851</v>
      </c>
      <c r="K41" s="15">
        <f t="shared" si="43"/>
        <v>1032.3062219348992</v>
      </c>
      <c r="L41" s="16">
        <f t="shared" si="43"/>
        <v>800.51460021441358</v>
      </c>
      <c r="N41" s="17"/>
      <c r="O41" s="14"/>
      <c r="P41" s="14">
        <f t="shared" si="49"/>
        <v>0.39999999999999991</v>
      </c>
      <c r="Q41" s="22">
        <f t="shared" si="44"/>
        <v>261.94990500389383</v>
      </c>
      <c r="R41" s="22">
        <f t="shared" si="44"/>
        <v>46.287210793777682</v>
      </c>
      <c r="S41" s="22">
        <f t="shared" si="44"/>
        <v>-169.37548341633874</v>
      </c>
      <c r="T41" s="22">
        <f t="shared" si="44"/>
        <v>-385.03817762645542</v>
      </c>
      <c r="U41" s="23">
        <f t="shared" si="44"/>
        <v>-600.70087183657199</v>
      </c>
      <c r="W41">
        <v>190</v>
      </c>
      <c r="X41" s="4">
        <f>$J$33</f>
        <v>126166.47568522906</v>
      </c>
      <c r="Y41" s="56"/>
      <c r="Z41" s="57">
        <v>1643.516772505244</v>
      </c>
      <c r="AA41" s="48"/>
      <c r="AB41" s="48">
        <v>2279.5121766386915</v>
      </c>
      <c r="AC41" s="45"/>
      <c r="AD41" s="3"/>
      <c r="AE41" s="62">
        <f t="shared" ref="AE41:AE43" si="62">(Y41*57.325+$X41)/($X41+Y41*57.325+Y$39+$Z$35*57.325)</f>
        <v>0.4838574832325937</v>
      </c>
      <c r="AF41" s="62">
        <f t="shared" si="55"/>
        <v>0.59996620994880145</v>
      </c>
      <c r="AG41" s="62">
        <f t="shared" si="55"/>
        <v>0.44196914813073224</v>
      </c>
      <c r="AH41" s="62">
        <f t="shared" si="55"/>
        <v>0.59940043077032801</v>
      </c>
      <c r="AI41" s="59">
        <f t="shared" si="55"/>
        <v>0.40675564545327098</v>
      </c>
      <c r="AJ41" s="63"/>
      <c r="AK41" s="62">
        <f t="shared" ref="AK41:AK43" si="63">$B$25/($X41/57.325+Y$39/57.325+Y41+$Z$35)</f>
        <v>1.0160139372246879</v>
      </c>
      <c r="AL41" s="62">
        <f t="shared" si="56"/>
        <v>0.72123811578525965</v>
      </c>
      <c r="AM41" s="62">
        <f t="shared" si="56"/>
        <v>0.92805594598665442</v>
      </c>
      <c r="AN41" s="62">
        <f t="shared" si="56"/>
        <v>0.61827457985719159</v>
      </c>
      <c r="AO41" s="59">
        <f t="shared" si="56"/>
        <v>0.85411390574006174</v>
      </c>
      <c r="AP41" s="3"/>
      <c r="AQ41" s="69">
        <f t="shared" ref="AQ41:AQ43" si="64">$B$21*AK41*Y41</f>
        <v>0</v>
      </c>
      <c r="AR41" s="69">
        <f t="shared" si="57"/>
        <v>2963.4173506578836</v>
      </c>
      <c r="AS41" s="69">
        <f t="shared" si="58"/>
        <v>0</v>
      </c>
      <c r="AT41" s="69">
        <f t="shared" si="59"/>
        <v>3523.4110832265983</v>
      </c>
      <c r="AU41" s="70">
        <f t="shared" si="60"/>
        <v>0</v>
      </c>
      <c r="AV41" s="3"/>
      <c r="AW41" s="69">
        <f t="shared" ref="AW41:AW43" si="65">$B$21*AK41*$Z$35</f>
        <v>762.01045291851597</v>
      </c>
      <c r="AX41" s="69">
        <f t="shared" si="61"/>
        <v>540.92858683894474</v>
      </c>
      <c r="AY41" s="69">
        <f t="shared" si="61"/>
        <v>696.04195948999086</v>
      </c>
      <c r="AZ41" s="69">
        <f t="shared" si="61"/>
        <v>463.70593489289371</v>
      </c>
      <c r="BA41" s="70">
        <f t="shared" si="61"/>
        <v>640.58542930504632</v>
      </c>
    </row>
    <row r="42" spans="6:53" ht="15.75" thickBot="1" x14ac:dyDescent="0.3">
      <c r="F42" s="18"/>
      <c r="G42" s="19"/>
      <c r="H42" s="19">
        <f t="shared" si="54"/>
        <v>0.65000000000000013</v>
      </c>
      <c r="I42" s="20">
        <f t="shared" si="43"/>
        <v>1784.7326528758711</v>
      </c>
      <c r="J42" s="20">
        <f t="shared" si="43"/>
        <v>1552.9410311553854</v>
      </c>
      <c r="K42" s="20">
        <f t="shared" si="43"/>
        <v>1321.1494094348996</v>
      </c>
      <c r="L42" s="21">
        <f t="shared" si="43"/>
        <v>1089.3577877144137</v>
      </c>
      <c r="N42" s="18"/>
      <c r="O42" s="19"/>
      <c r="P42" s="19">
        <f t="shared" si="49"/>
        <v>0.34999999999999987</v>
      </c>
      <c r="Q42" s="24">
        <f t="shared" si="44"/>
        <v>-26.893282496106302</v>
      </c>
      <c r="R42" s="24">
        <f t="shared" si="44"/>
        <v>-242.55597670622245</v>
      </c>
      <c r="S42" s="24">
        <f t="shared" si="44"/>
        <v>-458.21867091633885</v>
      </c>
      <c r="T42" s="24">
        <f t="shared" si="44"/>
        <v>-673.88136512645553</v>
      </c>
      <c r="U42" s="25">
        <f t="shared" si="44"/>
        <v>-889.54405933657222</v>
      </c>
      <c r="W42">
        <v>210</v>
      </c>
      <c r="X42" s="4">
        <f>$K$33</f>
        <v>139447.1573363058</v>
      </c>
      <c r="Y42" s="83">
        <v>1087.6083733175767</v>
      </c>
      <c r="Z42" s="48">
        <v>1403.7746225329843</v>
      </c>
      <c r="AA42" s="48"/>
      <c r="AB42" s="48"/>
      <c r="AC42" s="84">
        <v>2368.9044434332554</v>
      </c>
      <c r="AD42" s="3"/>
      <c r="AE42" s="62">
        <f t="shared" si="62"/>
        <v>0.59990135692873903</v>
      </c>
      <c r="AF42" s="62">
        <f t="shared" si="55"/>
        <v>0.59946184725559071</v>
      </c>
      <c r="AG42" s="62">
        <f t="shared" si="55"/>
        <v>0.46677634845057014</v>
      </c>
      <c r="AH42" s="62">
        <f t="shared" si="55"/>
        <v>0.44823658714819192</v>
      </c>
      <c r="AI42" s="62">
        <f t="shared" si="55"/>
        <v>0.59932758197105818</v>
      </c>
      <c r="AJ42" s="3"/>
      <c r="AK42" s="105">
        <f t="shared" si="63"/>
        <v>0.78758440628186843</v>
      </c>
      <c r="AL42" s="62">
        <f t="shared" si="56"/>
        <v>0.72214745296519434</v>
      </c>
      <c r="AM42" s="62">
        <f t="shared" si="56"/>
        <v>0.8867993206889887</v>
      </c>
      <c r="AN42" s="62">
        <f t="shared" si="56"/>
        <v>0.85157678256498159</v>
      </c>
      <c r="AO42" s="95">
        <f t="shared" si="56"/>
        <v>0.57686159381405133</v>
      </c>
      <c r="AP42" s="3"/>
      <c r="AQ42" s="69">
        <f t="shared" si="64"/>
        <v>2141.4584874162811</v>
      </c>
      <c r="AR42" s="69">
        <f t="shared" si="57"/>
        <v>2534.3306704984293</v>
      </c>
      <c r="AS42" s="69">
        <f t="shared" si="58"/>
        <v>0</v>
      </c>
      <c r="AT42" s="69">
        <f t="shared" si="59"/>
        <v>0</v>
      </c>
      <c r="AU42" s="69">
        <f t="shared" si="60"/>
        <v>3416.3249820802398</v>
      </c>
      <c r="AV42" s="3"/>
      <c r="AW42" s="69">
        <f t="shared" si="65"/>
        <v>590.68830471140132</v>
      </c>
      <c r="AX42" s="69">
        <f t="shared" si="61"/>
        <v>541.61058972389571</v>
      </c>
      <c r="AY42" s="69">
        <f t="shared" si="61"/>
        <v>665.09949051674153</v>
      </c>
      <c r="AZ42" s="69">
        <f t="shared" si="61"/>
        <v>638.68258692373615</v>
      </c>
      <c r="BA42" s="69">
        <f t="shared" si="61"/>
        <v>432.64619536053851</v>
      </c>
    </row>
    <row r="43" spans="6:53" ht="15.75" thickBot="1" x14ac:dyDescent="0.3">
      <c r="W43">
        <v>230</v>
      </c>
      <c r="X43" s="4">
        <f>$L$33</f>
        <v>152727.83898738254</v>
      </c>
      <c r="Y43" s="43">
        <v>853.57016699775215</v>
      </c>
      <c r="Z43" s="58">
        <v>1178.2445766861149</v>
      </c>
      <c r="AA43" s="58"/>
      <c r="AB43" s="57">
        <v>1826.6741877169625</v>
      </c>
      <c r="AC43" s="64">
        <v>2145.2445471951974</v>
      </c>
      <c r="AD43" s="3"/>
      <c r="AE43" s="59">
        <f t="shared" si="62"/>
        <v>0.59974005487246873</v>
      </c>
      <c r="AF43" s="62">
        <f t="shared" si="55"/>
        <v>0.59984598009511669</v>
      </c>
      <c r="AG43" s="62">
        <f t="shared" si="55"/>
        <v>0.48947182258713229</v>
      </c>
      <c r="AH43" s="62">
        <f t="shared" si="55"/>
        <v>0.59996284843389502</v>
      </c>
      <c r="AI43" s="62">
        <f t="shared" si="55"/>
        <v>0.59972796069475576</v>
      </c>
      <c r="AJ43" s="3"/>
      <c r="AK43" s="59">
        <f t="shared" si="63"/>
        <v>0.78790192543975524</v>
      </c>
      <c r="AL43" s="62">
        <f t="shared" si="56"/>
        <v>0.72145488335662311</v>
      </c>
      <c r="AM43" s="62">
        <f t="shared" si="56"/>
        <v>0.84905468766580006</v>
      </c>
      <c r="AN43" s="106">
        <f t="shared" si="56"/>
        <v>0.61740655959118174</v>
      </c>
      <c r="AO43" s="95">
        <f t="shared" si="56"/>
        <v>0.5762851550618715</v>
      </c>
      <c r="AP43" s="3"/>
      <c r="AQ43" s="70">
        <f t="shared" si="64"/>
        <v>1681.3239451886559</v>
      </c>
      <c r="AR43" s="69">
        <f t="shared" si="57"/>
        <v>2125.125759096637</v>
      </c>
      <c r="AS43" s="69">
        <f t="shared" si="58"/>
        <v>0</v>
      </c>
      <c r="AT43" s="69">
        <f t="shared" si="59"/>
        <v>2819.5015643308657</v>
      </c>
      <c r="AU43" s="69">
        <f t="shared" si="60"/>
        <v>3090.6814663150462</v>
      </c>
      <c r="AV43" s="3"/>
      <c r="AW43" s="70">
        <f t="shared" si="65"/>
        <v>590.92644407981641</v>
      </c>
      <c r="AX43" s="69">
        <f t="shared" si="61"/>
        <v>541.0911625174673</v>
      </c>
      <c r="AY43" s="69">
        <f t="shared" si="61"/>
        <v>636.79101574935009</v>
      </c>
      <c r="AZ43" s="69">
        <f t="shared" si="61"/>
        <v>463.0549196933863</v>
      </c>
      <c r="BA43" s="69">
        <f t="shared" si="61"/>
        <v>432.21386629640358</v>
      </c>
    </row>
    <row r="48" spans="6:53" x14ac:dyDescent="0.25">
      <c r="W48" s="3" t="s">
        <v>40</v>
      </c>
      <c r="X48" s="3"/>
      <c r="Y48" s="3"/>
      <c r="Z48" s="3">
        <v>300</v>
      </c>
      <c r="AA48" s="3" t="s">
        <v>41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23:53" x14ac:dyDescent="0.25">
      <c r="W49" s="3" t="s">
        <v>36</v>
      </c>
      <c r="X49" s="3"/>
      <c r="Y49" s="3"/>
      <c r="Z49" s="63">
        <v>0.55000000000000004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23:53" x14ac:dyDescent="0.25">
      <c r="W50" s="3"/>
      <c r="X50" s="3"/>
      <c r="Y50" s="3"/>
      <c r="Z50" s="3"/>
      <c r="AA50" s="3"/>
      <c r="AB50" s="3"/>
      <c r="AC50" s="3"/>
      <c r="AD50" s="68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23:53" x14ac:dyDescent="0.25">
      <c r="W51" s="3" t="s">
        <v>37</v>
      </c>
      <c r="X51" s="3"/>
      <c r="Y51" s="3">
        <f>Q$31</f>
        <v>190</v>
      </c>
      <c r="Z51" s="3">
        <f t="shared" ref="Z51" si="66">R$31</f>
        <v>210</v>
      </c>
      <c r="AA51" s="3">
        <f t="shared" ref="AA51" si="67">S$31</f>
        <v>230</v>
      </c>
      <c r="AB51" s="3">
        <f t="shared" ref="AB51" si="68">T$31</f>
        <v>250</v>
      </c>
      <c r="AC51" s="3">
        <f t="shared" ref="AC51" si="69">U$31</f>
        <v>270</v>
      </c>
      <c r="AD51" s="3"/>
      <c r="AE51" s="63" t="s">
        <v>38</v>
      </c>
      <c r="AF51" s="63"/>
      <c r="AG51" s="63"/>
      <c r="AH51" s="63"/>
      <c r="AI51" s="63"/>
      <c r="AJ51" s="63"/>
      <c r="AK51" s="3" t="s">
        <v>39</v>
      </c>
      <c r="AL51" s="3"/>
      <c r="AM51" s="3"/>
      <c r="AN51" s="3"/>
      <c r="AO51" s="3"/>
      <c r="AP51" s="3"/>
      <c r="AQ51" s="3" t="s">
        <v>43</v>
      </c>
      <c r="AR51" s="3"/>
      <c r="AS51" s="3"/>
      <c r="AT51" s="3"/>
      <c r="AU51" s="3"/>
      <c r="AV51" s="3"/>
      <c r="AW51" s="3" t="s">
        <v>44</v>
      </c>
      <c r="AX51" s="3"/>
      <c r="AY51" s="3"/>
      <c r="AZ51" s="3"/>
      <c r="BA51" s="3"/>
    </row>
    <row r="52" spans="23:53" x14ac:dyDescent="0.25">
      <c r="W52" s="3"/>
      <c r="X52" s="3"/>
      <c r="Y52" s="68">
        <f>Q$33</f>
        <v>117387.34067827118</v>
      </c>
      <c r="Z52" s="68">
        <f t="shared" ref="Z52" si="70">R$33</f>
        <v>129743.90285493129</v>
      </c>
      <c r="AA52" s="68">
        <f t="shared" ref="AA52" si="71">S$33</f>
        <v>142100.46503159142</v>
      </c>
      <c r="AB52" s="68">
        <f t="shared" ref="AB52" si="72">T$33</f>
        <v>154457.02720825156</v>
      </c>
      <c r="AC52" s="68">
        <f t="shared" ref="AC52" si="73">U$33</f>
        <v>166813.5893849117</v>
      </c>
      <c r="AD52" s="3"/>
      <c r="AE52" s="63"/>
      <c r="AF52" s="63"/>
      <c r="AG52" s="63"/>
      <c r="AH52" s="63"/>
      <c r="AI52" s="63"/>
      <c r="AJ52" s="6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23:53" ht="15.75" thickBot="1" x14ac:dyDescent="0.3">
      <c r="W53" s="3">
        <v>170</v>
      </c>
      <c r="X53" s="68">
        <f>$I$33</f>
        <v>112885.79403415232</v>
      </c>
      <c r="Y53" s="60">
        <v>892.60985604682207</v>
      </c>
      <c r="Z53" s="61"/>
      <c r="AA53" s="61">
        <v>1417.273796077817</v>
      </c>
      <c r="AB53" s="41"/>
      <c r="AC53" s="42">
        <v>1951.7944421510686</v>
      </c>
      <c r="AD53" s="3"/>
      <c r="AE53" s="62">
        <f>(Y53*57.325+$X53)/($X53+Y53*57.325+Y$52+$Z$48*57.325)</f>
        <v>0.54934011387601656</v>
      </c>
      <c r="AF53" s="62">
        <f t="shared" ref="AF53:AI56" si="74">(Z53*57.325+$X53)/($X53+Z53*57.325+Z$52+$Z$48*57.325)</f>
        <v>0.43446488814772383</v>
      </c>
      <c r="AG53" s="62">
        <f t="shared" si="74"/>
        <v>0.54927871141085138</v>
      </c>
      <c r="AH53" s="59">
        <f t="shared" si="74"/>
        <v>0.39673039497970952</v>
      </c>
      <c r="AI53" s="59">
        <f t="shared" si="74"/>
        <v>0.54985685706976961</v>
      </c>
      <c r="AJ53" s="63"/>
      <c r="AK53" s="62">
        <f>$B$25/($X53/57.325+Y$52/57.325+Y53+$Z$48)</f>
        <v>0.88711297824820512</v>
      </c>
      <c r="AL53" s="62">
        <f t="shared" ref="AL53:AO56" si="75">$B$25/($X53/57.325+Z$52/57.325+Z53+$Z$48)</f>
        <v>1.0196275630379581</v>
      </c>
      <c r="AM53" s="62">
        <f t="shared" si="75"/>
        <v>0.74959040428811607</v>
      </c>
      <c r="AN53" s="59">
        <f t="shared" si="75"/>
        <v>0.93107005157734757</v>
      </c>
      <c r="AO53" s="59">
        <f t="shared" si="75"/>
        <v>0.64808626496581589</v>
      </c>
      <c r="AP53" s="3"/>
      <c r="AQ53" s="69">
        <f>$B$21*AK53*Y53</f>
        <v>1979.6144695284947</v>
      </c>
      <c r="AR53" s="69">
        <f t="shared" ref="AR53:AR56" si="76">$B$21*AL53*Z53</f>
        <v>0</v>
      </c>
      <c r="AS53" s="69">
        <f t="shared" ref="AS53:AS56" si="77">$B$21*AM53*AA53</f>
        <v>2655.9370944723096</v>
      </c>
      <c r="AT53" s="70">
        <f t="shared" ref="AT53:AT56" si="78">$B$21*AN53*AB53</f>
        <v>0</v>
      </c>
      <c r="AU53" s="70">
        <f t="shared" ref="AU53:AU56" si="79">$B$21*AO53*AC53</f>
        <v>3162.3279249868106</v>
      </c>
      <c r="AV53" s="3"/>
      <c r="AW53" s="69">
        <f>$B$21*AK53*$Z$48</f>
        <v>665.33473368615375</v>
      </c>
      <c r="AX53" s="69">
        <f t="shared" ref="AX53:BA56" si="80">$B$21*AL53*$Z$48</f>
        <v>764.72067227846856</v>
      </c>
      <c r="AY53" s="69">
        <f t="shared" si="80"/>
        <v>562.1928032160871</v>
      </c>
      <c r="AZ53" s="70">
        <f t="shared" si="80"/>
        <v>698.30253868301065</v>
      </c>
      <c r="BA53" s="70">
        <f t="shared" si="80"/>
        <v>486.0646987243619</v>
      </c>
    </row>
    <row r="54" spans="23:53" ht="15.75" thickBot="1" x14ac:dyDescent="0.3">
      <c r="W54" s="3">
        <v>190</v>
      </c>
      <c r="X54" s="68">
        <f>$J$33</f>
        <v>126166.47568522906</v>
      </c>
      <c r="Y54" s="56"/>
      <c r="Z54" s="57">
        <v>937.22752792013409</v>
      </c>
      <c r="AA54" s="48"/>
      <c r="AB54" s="48">
        <v>1449.217306257158</v>
      </c>
      <c r="AC54" s="45"/>
      <c r="AD54" s="3"/>
      <c r="AE54" s="62">
        <f t="shared" ref="AE54:AE56" si="81">(Y54*57.325+$X54)/($X54+Y54*57.325+Y$52+$Z$48*57.325)</f>
        <v>0.4838574832325937</v>
      </c>
      <c r="AF54" s="62">
        <f t="shared" si="74"/>
        <v>0.5504102936720856</v>
      </c>
      <c r="AG54" s="62">
        <f t="shared" si="74"/>
        <v>0.44196914813073224</v>
      </c>
      <c r="AH54" s="62">
        <f t="shared" si="74"/>
        <v>0.54934180706001501</v>
      </c>
      <c r="AI54" s="59">
        <f t="shared" si="74"/>
        <v>0.40675564545327098</v>
      </c>
      <c r="AJ54" s="63"/>
      <c r="AK54" s="62">
        <f t="shared" ref="AK54:AK56" si="82">$B$25/($X54/57.325+Y$52/57.325+Y54+$Z$48)</f>
        <v>1.0160139372246879</v>
      </c>
      <c r="AL54" s="62">
        <f t="shared" si="75"/>
        <v>0.81058460743251837</v>
      </c>
      <c r="AM54" s="62">
        <f t="shared" si="75"/>
        <v>0.92805594598665442</v>
      </c>
      <c r="AN54" s="62">
        <f t="shared" si="75"/>
        <v>0.69553371072005754</v>
      </c>
      <c r="AO54" s="59">
        <f t="shared" si="75"/>
        <v>0.85411390574006174</v>
      </c>
      <c r="AP54" s="3"/>
      <c r="AQ54" s="69">
        <f t="shared" ref="AQ54:AQ56" si="83">$B$21*AK54*Y54</f>
        <v>0</v>
      </c>
      <c r="AR54" s="69">
        <f t="shared" si="76"/>
        <v>1899.2555194852289</v>
      </c>
      <c r="AS54" s="69">
        <f t="shared" si="77"/>
        <v>0</v>
      </c>
      <c r="AT54" s="69">
        <f t="shared" si="78"/>
        <v>2519.9487266519182</v>
      </c>
      <c r="AU54" s="70">
        <f t="shared" si="79"/>
        <v>0</v>
      </c>
      <c r="AV54" s="3"/>
      <c r="AW54" s="69">
        <f t="shared" ref="AW54:AW56" si="84">$B$21*AK54*$Z$48</f>
        <v>762.01045291851597</v>
      </c>
      <c r="AX54" s="69">
        <f t="shared" si="80"/>
        <v>607.93845557438874</v>
      </c>
      <c r="AY54" s="69">
        <f t="shared" si="80"/>
        <v>696.04195948999086</v>
      </c>
      <c r="AZ54" s="69">
        <f t="shared" si="80"/>
        <v>521.65028304004318</v>
      </c>
      <c r="BA54" s="70">
        <f t="shared" si="80"/>
        <v>640.58542930504632</v>
      </c>
    </row>
    <row r="55" spans="23:53" ht="15.75" thickBot="1" x14ac:dyDescent="0.3">
      <c r="W55" s="3">
        <v>210</v>
      </c>
      <c r="X55" s="68">
        <f>$K$33</f>
        <v>139447.1573363058</v>
      </c>
      <c r="Y55" s="83">
        <v>435.68219713120516</v>
      </c>
      <c r="Z55" s="48"/>
      <c r="AA55" s="48"/>
      <c r="AB55" s="48"/>
      <c r="AC55" s="84">
        <v>1481.1147437696322</v>
      </c>
      <c r="AD55" s="3"/>
      <c r="AE55" s="62">
        <f t="shared" si="81"/>
        <v>0.54989473609834327</v>
      </c>
      <c r="AF55" s="62">
        <f t="shared" si="74"/>
        <v>0.48691594819007233</v>
      </c>
      <c r="AG55" s="62">
        <f t="shared" si="74"/>
        <v>0.46677634845057014</v>
      </c>
      <c r="AH55" s="62">
        <f t="shared" si="74"/>
        <v>0.44823658714819192</v>
      </c>
      <c r="AI55" s="62">
        <f t="shared" si="74"/>
        <v>0.54939350024174405</v>
      </c>
      <c r="AJ55" s="3"/>
      <c r="AK55" s="105">
        <f t="shared" si="82"/>
        <v>0.88602121795047251</v>
      </c>
      <c r="AL55" s="62">
        <f t="shared" si="75"/>
        <v>0.92506129224608002</v>
      </c>
      <c r="AM55" s="62">
        <f t="shared" si="75"/>
        <v>0.8867993206889887</v>
      </c>
      <c r="AN55" s="62">
        <f t="shared" si="75"/>
        <v>0.85157678256498159</v>
      </c>
      <c r="AO55" s="106">
        <f t="shared" si="75"/>
        <v>0.64875337541887468</v>
      </c>
      <c r="AP55" s="3"/>
      <c r="AQ55" s="69">
        <f t="shared" si="83"/>
        <v>965.05917735382059</v>
      </c>
      <c r="AR55" s="69">
        <f t="shared" si="76"/>
        <v>0</v>
      </c>
      <c r="AS55" s="69">
        <f t="shared" si="77"/>
        <v>0</v>
      </c>
      <c r="AT55" s="69">
        <f t="shared" si="78"/>
        <v>0</v>
      </c>
      <c r="AU55" s="69">
        <f t="shared" si="79"/>
        <v>2402.1954735080267</v>
      </c>
      <c r="AV55" s="3"/>
      <c r="AW55" s="69">
        <f t="shared" si="84"/>
        <v>664.51591346285431</v>
      </c>
      <c r="AX55" s="69">
        <f t="shared" si="80"/>
        <v>693.79596918456002</v>
      </c>
      <c r="AY55" s="69">
        <f t="shared" si="80"/>
        <v>665.09949051674153</v>
      </c>
      <c r="AZ55" s="69">
        <f t="shared" si="80"/>
        <v>638.68258692373615</v>
      </c>
      <c r="BA55" s="69">
        <f t="shared" si="80"/>
        <v>486.56503156415602</v>
      </c>
    </row>
    <row r="56" spans="23:53" ht="15.75" thickBot="1" x14ac:dyDescent="0.3">
      <c r="W56" s="3">
        <v>230</v>
      </c>
      <c r="X56" s="68">
        <f>$L$33</f>
        <v>152727.83898738254</v>
      </c>
      <c r="Y56" s="43">
        <v>202.19287974438109</v>
      </c>
      <c r="Z56" s="58">
        <v>467.85079811570489</v>
      </c>
      <c r="AA56" s="58"/>
      <c r="AB56" s="57">
        <v>1004.6102423174037</v>
      </c>
      <c r="AC56" s="64"/>
      <c r="AD56" s="3"/>
      <c r="AE56" s="59">
        <f t="shared" si="81"/>
        <v>0.54973798639239635</v>
      </c>
      <c r="AF56" s="62">
        <f t="shared" si="74"/>
        <v>0.54993430746864624</v>
      </c>
      <c r="AG56" s="62">
        <f t="shared" si="74"/>
        <v>0.48947182258713229</v>
      </c>
      <c r="AH56" s="62">
        <f t="shared" si="74"/>
        <v>0.55060924559238256</v>
      </c>
      <c r="AI56" s="62">
        <f t="shared" si="74"/>
        <v>0.45354969716637156</v>
      </c>
      <c r="AJ56" s="3"/>
      <c r="AK56" s="59">
        <f t="shared" si="82"/>
        <v>0.88632977591794115</v>
      </c>
      <c r="AL56" s="62">
        <f t="shared" si="75"/>
        <v>0.81144278341926313</v>
      </c>
      <c r="AM56" s="62">
        <f t="shared" si="75"/>
        <v>0.84905468766580006</v>
      </c>
      <c r="AN56" s="62">
        <f t="shared" si="75"/>
        <v>0.69357758024392846</v>
      </c>
      <c r="AO56" s="62">
        <f t="shared" si="75"/>
        <v>0.78674293125415018</v>
      </c>
      <c r="AP56" s="3"/>
      <c r="AQ56" s="70">
        <f t="shared" si="83"/>
        <v>448.02392449010131</v>
      </c>
      <c r="AR56" s="69">
        <f t="shared" si="76"/>
        <v>949.08538461982823</v>
      </c>
      <c r="AS56" s="69">
        <f t="shared" si="77"/>
        <v>0</v>
      </c>
      <c r="AT56" s="69">
        <f t="shared" si="78"/>
        <v>1741.9378523869286</v>
      </c>
      <c r="AU56" s="69">
        <f t="shared" si="79"/>
        <v>0</v>
      </c>
      <c r="AV56" s="3"/>
      <c r="AW56" s="70">
        <f t="shared" si="84"/>
        <v>664.74733193845589</v>
      </c>
      <c r="AX56" s="69">
        <f t="shared" si="80"/>
        <v>608.58208756444731</v>
      </c>
      <c r="AY56" s="69">
        <f t="shared" si="80"/>
        <v>636.79101574935009</v>
      </c>
      <c r="AZ56" s="69">
        <f t="shared" si="80"/>
        <v>520.18318518294632</v>
      </c>
      <c r="BA56" s="69">
        <f t="shared" si="80"/>
        <v>590.05719844061264</v>
      </c>
    </row>
    <row r="61" spans="23:53" x14ac:dyDescent="0.25">
      <c r="W61" s="3" t="s">
        <v>40</v>
      </c>
      <c r="X61" s="3"/>
      <c r="Y61" s="3"/>
      <c r="Z61" s="3">
        <v>300</v>
      </c>
      <c r="AA61" s="3" t="s">
        <v>41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23:53" x14ac:dyDescent="0.25">
      <c r="W62" s="3" t="s">
        <v>36</v>
      </c>
      <c r="X62" s="3"/>
      <c r="Y62" s="3"/>
      <c r="Z62" s="63">
        <v>0.65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23:53" x14ac:dyDescent="0.25">
      <c r="W63" s="3"/>
      <c r="X63" s="3"/>
      <c r="Y63" s="3"/>
      <c r="Z63" s="3"/>
      <c r="AA63" s="3"/>
      <c r="AB63" s="3"/>
      <c r="AC63" s="3"/>
      <c r="AD63" s="68"/>
      <c r="AE63" s="3"/>
      <c r="AF63" s="3"/>
      <c r="AG63" s="3"/>
      <c r="AH63" s="3"/>
      <c r="AI63" s="3"/>
      <c r="AJ63" s="3"/>
      <c r="AK63" s="3"/>
      <c r="AL63" s="3"/>
      <c r="AM63" s="71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23:53" x14ac:dyDescent="0.25">
      <c r="W64" s="3" t="s">
        <v>37</v>
      </c>
      <c r="X64" s="3"/>
      <c r="Y64" s="3">
        <f>Q$31</f>
        <v>190</v>
      </c>
      <c r="Z64" s="3">
        <f t="shared" ref="Z64" si="85">R$31</f>
        <v>210</v>
      </c>
      <c r="AA64" s="3">
        <f t="shared" ref="AA64" si="86">S$31</f>
        <v>230</v>
      </c>
      <c r="AB64" s="3">
        <f t="shared" ref="AB64" si="87">T$31</f>
        <v>250</v>
      </c>
      <c r="AC64" s="3">
        <f t="shared" ref="AC64" si="88">U$31</f>
        <v>270</v>
      </c>
      <c r="AD64" s="3"/>
      <c r="AE64" s="63" t="s">
        <v>38</v>
      </c>
      <c r="AF64" s="63"/>
      <c r="AG64" s="63"/>
      <c r="AH64" s="63"/>
      <c r="AI64" s="63"/>
      <c r="AJ64" s="63"/>
      <c r="AK64" s="3" t="s">
        <v>39</v>
      </c>
      <c r="AL64" s="3"/>
      <c r="AM64" s="3"/>
      <c r="AN64" s="3"/>
      <c r="AO64" s="3"/>
      <c r="AP64" s="3"/>
      <c r="AQ64" s="3" t="s">
        <v>43</v>
      </c>
      <c r="AR64" s="3"/>
      <c r="AS64" s="3"/>
      <c r="AT64" s="3"/>
      <c r="AU64" s="3"/>
      <c r="AV64" s="3"/>
      <c r="AW64" s="3" t="s">
        <v>44</v>
      </c>
      <c r="AX64" s="3"/>
      <c r="AY64" s="3"/>
      <c r="AZ64" s="3"/>
      <c r="BA64" s="3"/>
    </row>
    <row r="65" spans="23:53" x14ac:dyDescent="0.25">
      <c r="W65" s="3"/>
      <c r="X65" s="3"/>
      <c r="Y65" s="68">
        <f>Q$33</f>
        <v>117387.34067827118</v>
      </c>
      <c r="Z65" s="68">
        <f t="shared" ref="Z65" si="89">R$33</f>
        <v>129743.90285493129</v>
      </c>
      <c r="AA65" s="68">
        <f t="shared" ref="AA65" si="90">S$33</f>
        <v>142100.46503159142</v>
      </c>
      <c r="AB65" s="68">
        <f t="shared" ref="AB65" si="91">T$33</f>
        <v>154457.02720825156</v>
      </c>
      <c r="AC65" s="68">
        <f t="shared" ref="AC65" si="92">U$33</f>
        <v>166813.5893849117</v>
      </c>
      <c r="AD65" s="3"/>
      <c r="AE65" s="63"/>
      <c r="AF65" s="63"/>
      <c r="AG65" s="63"/>
      <c r="AH65" s="63"/>
      <c r="AI65" s="63"/>
      <c r="AJ65" s="6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23:53" ht="15.75" thickBot="1" x14ac:dyDescent="0.3">
      <c r="W66" s="3">
        <v>170</v>
      </c>
      <c r="X66" s="68">
        <f>$I$33</f>
        <v>112885.79403415232</v>
      </c>
      <c r="Y66" s="60"/>
      <c r="Z66" s="61"/>
      <c r="AA66" s="82">
        <v>3186.1625134862174</v>
      </c>
      <c r="AB66" s="41"/>
      <c r="AC66" s="42">
        <v>3973.4795274783182</v>
      </c>
      <c r="AD66" s="3"/>
      <c r="AE66" s="62">
        <f>(Y66*57.325+$X66)/($X66+Y66*57.325+Y$65+$Z$61*57.325)</f>
        <v>0.45615834042423958</v>
      </c>
      <c r="AF66" s="62">
        <f t="shared" ref="AF66:AI69" si="93">(Z66*57.325+$X66)/($X66+Z66*57.325+Z$65+$Z$61*57.325)</f>
        <v>0.43446488814772383</v>
      </c>
      <c r="AG66" s="62">
        <f t="shared" si="93"/>
        <v>0.64976412922464621</v>
      </c>
      <c r="AH66" s="59">
        <f t="shared" si="93"/>
        <v>0.39673039497970952</v>
      </c>
      <c r="AI66" s="59">
        <f t="shared" si="93"/>
        <v>0.64928664567716643</v>
      </c>
      <c r="AJ66" s="63"/>
      <c r="AK66" s="62">
        <f>$B$25/($X66/57.325+Y$65/57.325+Y66+$Z$61)</f>
        <v>1.0705390232779008</v>
      </c>
      <c r="AL66" s="62">
        <f t="shared" ref="AL66:AO69" si="94">$B$25/($X66/57.325+Z$65/57.325+Z66+$Z$61)</f>
        <v>1.0196275630379581</v>
      </c>
      <c r="AM66" s="62">
        <f t="shared" si="94"/>
        <v>0.58247403576716361</v>
      </c>
      <c r="AN66" s="59">
        <f t="shared" si="94"/>
        <v>0.93107005157734757</v>
      </c>
      <c r="AO66" s="59">
        <f t="shared" si="94"/>
        <v>0.50493384481466375</v>
      </c>
      <c r="AP66" s="3"/>
      <c r="AQ66" s="69">
        <f>$B$21*AK66*Y66</f>
        <v>0</v>
      </c>
      <c r="AR66" s="69">
        <f t="shared" ref="AR66:AR69" si="95">$B$21*AL66*Z66</f>
        <v>0</v>
      </c>
      <c r="AS66" s="69">
        <f t="shared" ref="AS66:AS69" si="96">$B$21*AM66*AA66</f>
        <v>4639.6423446009176</v>
      </c>
      <c r="AT66" s="70">
        <f t="shared" ref="AT66:AT69" si="97">$B$21*AN66*AB66</f>
        <v>0</v>
      </c>
      <c r="AU66" s="70">
        <f t="shared" ref="AU66:AU69" si="98">$B$21*AO66*AC66</f>
        <v>5015.8607377549515</v>
      </c>
      <c r="AV66" s="3"/>
      <c r="AW66" s="69">
        <f>$B$21*AK66*$Z$61</f>
        <v>802.90426745842558</v>
      </c>
      <c r="AX66" s="69">
        <f t="shared" ref="AX66:BA69" si="99">$B$21*AL66*$Z$61</f>
        <v>764.72067227846856</v>
      </c>
      <c r="AY66" s="69">
        <f t="shared" si="99"/>
        <v>436.85552682537275</v>
      </c>
      <c r="AZ66" s="70">
        <f t="shared" si="99"/>
        <v>698.30253868301065</v>
      </c>
      <c r="BA66" s="70">
        <f t="shared" si="99"/>
        <v>378.70038361099785</v>
      </c>
    </row>
    <row r="67" spans="23:53" ht="15.75" thickBot="1" x14ac:dyDescent="0.3">
      <c r="W67" s="3">
        <v>190</v>
      </c>
      <c r="X67" s="68">
        <f>$J$33</f>
        <v>126166.47568522906</v>
      </c>
      <c r="Y67" s="56"/>
      <c r="Z67" s="57">
        <v>2558.6438669089048</v>
      </c>
      <c r="AA67" s="48">
        <v>2124.0243300523803</v>
      </c>
      <c r="AB67" s="104">
        <v>3353.9538184325202</v>
      </c>
      <c r="AC67" s="45"/>
      <c r="AD67" s="3"/>
      <c r="AE67" s="62">
        <f t="shared" ref="AE67:AE69" si="100">(Y67*57.325+$X67)/($X67+Y67*57.325+Y$65+$Z$61*57.325)</f>
        <v>0.4838574832325937</v>
      </c>
      <c r="AF67" s="62">
        <f t="shared" si="93"/>
        <v>0.64995794370561621</v>
      </c>
      <c r="AG67" s="62">
        <f t="shared" si="93"/>
        <v>0.60881993190158756</v>
      </c>
      <c r="AH67" s="62">
        <f t="shared" si="93"/>
        <v>0.64974640130892403</v>
      </c>
      <c r="AI67" s="59">
        <f t="shared" si="93"/>
        <v>0.40675564545327098</v>
      </c>
      <c r="AJ67" s="63"/>
      <c r="AK67" s="62">
        <f t="shared" ref="AK67:AK69" si="101">$B$25/($X67/57.325+Y$65/57.325+Y67+$Z$61)</f>
        <v>1.0160139372246879</v>
      </c>
      <c r="AL67" s="62">
        <f t="shared" si="94"/>
        <v>0.63110587006924446</v>
      </c>
      <c r="AM67" s="62">
        <f t="shared" si="94"/>
        <v>0.65056795145664503</v>
      </c>
      <c r="AN67" s="95">
        <f t="shared" si="94"/>
        <v>0.54057196564292898</v>
      </c>
      <c r="AO67" s="59">
        <f t="shared" si="94"/>
        <v>0.85411390574006174</v>
      </c>
      <c r="AP67" s="3"/>
      <c r="AQ67" s="69">
        <f t="shared" ref="AQ67:AQ69" si="102">$B$21*AK67*Y67</f>
        <v>0</v>
      </c>
      <c r="AR67" s="69">
        <f t="shared" si="95"/>
        <v>4036.9379095572012</v>
      </c>
      <c r="AS67" s="69">
        <f t="shared" si="96"/>
        <v>3454.5553931156251</v>
      </c>
      <c r="AT67" s="69">
        <f t="shared" si="97"/>
        <v>4532.6335207641869</v>
      </c>
      <c r="AU67" s="70">
        <f t="shared" si="98"/>
        <v>0</v>
      </c>
      <c r="AV67" s="3"/>
      <c r="AW67" s="69">
        <f t="shared" ref="AW67:AW69" si="103">$B$21*AK67*$Z$61</f>
        <v>762.01045291851597</v>
      </c>
      <c r="AX67" s="69">
        <f t="shared" si="99"/>
        <v>473.32940255193336</v>
      </c>
      <c r="AY67" s="69">
        <f t="shared" si="99"/>
        <v>487.92596359248381</v>
      </c>
      <c r="AZ67" s="69">
        <f t="shared" si="99"/>
        <v>405.42897423219677</v>
      </c>
      <c r="BA67" s="70">
        <f t="shared" si="99"/>
        <v>640.58542930504632</v>
      </c>
    </row>
    <row r="68" spans="23:53" ht="15.75" thickBot="1" x14ac:dyDescent="0.3">
      <c r="W68" s="3">
        <v>210</v>
      </c>
      <c r="X68" s="68">
        <f>$K$33</f>
        <v>139447.1573363058</v>
      </c>
      <c r="Y68" s="83">
        <v>1925.4567229466279</v>
      </c>
      <c r="Z68" s="48"/>
      <c r="AA68" s="48">
        <v>2726.942345572018</v>
      </c>
      <c r="AB68" s="104">
        <v>3125.1419533952076</v>
      </c>
      <c r="AC68" s="103">
        <v>3521.7305533064127</v>
      </c>
      <c r="AD68" s="3"/>
      <c r="AE68" s="62">
        <f t="shared" si="100"/>
        <v>0.64989136812777726</v>
      </c>
      <c r="AF68" s="62">
        <f t="shared" si="93"/>
        <v>0.48691594819007233</v>
      </c>
      <c r="AG68" s="62">
        <f t="shared" si="93"/>
        <v>0.64994619976423351</v>
      </c>
      <c r="AH68" s="62">
        <f t="shared" si="93"/>
        <v>0.64986359879806443</v>
      </c>
      <c r="AI68" s="62">
        <f t="shared" si="93"/>
        <v>0.64973049595953603</v>
      </c>
      <c r="AJ68" s="3"/>
      <c r="AK68" s="105">
        <f t="shared" si="101"/>
        <v>0.68918029026689309</v>
      </c>
      <c r="AL68" s="62">
        <f t="shared" si="94"/>
        <v>0.92506129224608002</v>
      </c>
      <c r="AM68" s="106">
        <f t="shared" si="94"/>
        <v>0.58217123593757181</v>
      </c>
      <c r="AN68" s="95">
        <f t="shared" si="94"/>
        <v>0.5403910861964083</v>
      </c>
      <c r="AO68" s="95">
        <f t="shared" si="94"/>
        <v>0.50429481859328817</v>
      </c>
      <c r="AP68" s="3"/>
      <c r="AQ68" s="69">
        <f t="shared" si="102"/>
        <v>3317.4670580417446</v>
      </c>
      <c r="AR68" s="69">
        <f t="shared" si="95"/>
        <v>0</v>
      </c>
      <c r="AS68" s="69">
        <f t="shared" si="96"/>
        <v>3968.8684891304069</v>
      </c>
      <c r="AT68" s="69">
        <f t="shared" si="97"/>
        <v>4221.997136783004</v>
      </c>
      <c r="AU68" s="69">
        <f t="shared" si="98"/>
        <v>4439.976176285244</v>
      </c>
      <c r="AV68" s="3"/>
      <c r="AW68" s="69">
        <f t="shared" si="103"/>
        <v>516.88521770016985</v>
      </c>
      <c r="AX68" s="69">
        <f t="shared" si="99"/>
        <v>693.79596918456002</v>
      </c>
      <c r="AY68" s="69">
        <f t="shared" si="99"/>
        <v>436.62842695317886</v>
      </c>
      <c r="AZ68" s="69">
        <f t="shared" si="99"/>
        <v>405.2933146473062</v>
      </c>
      <c r="BA68" s="69">
        <f t="shared" si="99"/>
        <v>378.22111394496613</v>
      </c>
    </row>
    <row r="69" spans="23:53" ht="15.75" thickBot="1" x14ac:dyDescent="0.3">
      <c r="W69" s="3">
        <v>230</v>
      </c>
      <c r="X69" s="68">
        <f>$L$33</f>
        <v>152727.83898738254</v>
      </c>
      <c r="Y69" s="43">
        <v>1695.2813965139078</v>
      </c>
      <c r="Z69" s="58">
        <v>2091.162409484476</v>
      </c>
      <c r="AA69" s="58">
        <v>2476.8636855767945</v>
      </c>
      <c r="AB69" s="98">
        <v>2895.1290878464656</v>
      </c>
      <c r="AC69" s="102">
        <v>3293.1106363932281</v>
      </c>
      <c r="AD69" s="3"/>
      <c r="AE69" s="59">
        <f t="shared" si="100"/>
        <v>0.64996956869256972</v>
      </c>
      <c r="AF69" s="62">
        <f t="shared" si="93"/>
        <v>0.64976019643570915</v>
      </c>
      <c r="AG69" s="62">
        <f t="shared" si="93"/>
        <v>0.64913271049966115</v>
      </c>
      <c r="AH69" s="62">
        <f t="shared" si="93"/>
        <v>0.64993157315843375</v>
      </c>
      <c r="AI69" s="62">
        <f t="shared" si="93"/>
        <v>0.64984716764488648</v>
      </c>
      <c r="AJ69" s="3"/>
      <c r="AK69" s="59">
        <f t="shared" si="101"/>
        <v>0.68902635436518611</v>
      </c>
      <c r="AL69" s="62">
        <f t="shared" si="94"/>
        <v>0.63146239712244978</v>
      </c>
      <c r="AM69" s="62">
        <f t="shared" si="94"/>
        <v>0.58352414240583206</v>
      </c>
      <c r="AN69" s="95">
        <f t="shared" si="94"/>
        <v>0.54028617640037635</v>
      </c>
      <c r="AO69" s="95">
        <f t="shared" si="94"/>
        <v>0.5041268424328742</v>
      </c>
      <c r="AP69" s="3"/>
      <c r="AQ69" s="70">
        <f t="shared" si="102"/>
        <v>2920.2339006577486</v>
      </c>
      <c r="AR69" s="69">
        <f t="shared" si="95"/>
        <v>3301.2260696635626</v>
      </c>
      <c r="AS69" s="69">
        <f t="shared" si="96"/>
        <v>3613.274394955869</v>
      </c>
      <c r="AT69" s="69">
        <f t="shared" si="97"/>
        <v>3910.4955626451901</v>
      </c>
      <c r="AU69" s="69">
        <f t="shared" si="98"/>
        <v>4150.3636672675775</v>
      </c>
      <c r="AV69" s="3"/>
      <c r="AW69" s="70">
        <f t="shared" si="103"/>
        <v>516.76976577388962</v>
      </c>
      <c r="AX69" s="69">
        <f t="shared" si="99"/>
        <v>473.59679784183731</v>
      </c>
      <c r="AY69" s="69">
        <f t="shared" si="99"/>
        <v>437.64310680437404</v>
      </c>
      <c r="AZ69" s="69">
        <f t="shared" si="99"/>
        <v>405.21463230028223</v>
      </c>
      <c r="BA69" s="69">
        <f t="shared" si="99"/>
        <v>378.0951318246556</v>
      </c>
    </row>
    <row r="74" spans="23:53" x14ac:dyDescent="0.25">
      <c r="W74" s="3" t="s">
        <v>40</v>
      </c>
      <c r="X74" s="3"/>
      <c r="Y74" s="3"/>
      <c r="Z74" s="3">
        <v>0</v>
      </c>
      <c r="AA74" s="3" t="s">
        <v>41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23:53" x14ac:dyDescent="0.25">
      <c r="W75" s="3" t="s">
        <v>36</v>
      </c>
      <c r="X75" s="3"/>
      <c r="Y75" s="3"/>
      <c r="Z75" s="63">
        <v>0.65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23:53" x14ac:dyDescent="0.25">
      <c r="W76" s="3"/>
      <c r="X76" s="3"/>
      <c r="Y76" s="3"/>
      <c r="Z76" s="3"/>
      <c r="AA76" s="3"/>
      <c r="AB76" s="3"/>
      <c r="AC76" s="3"/>
      <c r="AD76" s="68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23:53" x14ac:dyDescent="0.25">
      <c r="W77" s="3" t="s">
        <v>37</v>
      </c>
      <c r="X77" s="3"/>
      <c r="Y77" s="3">
        <f>Q$31</f>
        <v>190</v>
      </c>
      <c r="Z77" s="3">
        <f t="shared" ref="Z77" si="104">R$31</f>
        <v>210</v>
      </c>
      <c r="AA77" s="3">
        <f t="shared" ref="AA77" si="105">S$31</f>
        <v>230</v>
      </c>
      <c r="AB77" s="3">
        <f t="shared" ref="AB77" si="106">T$31</f>
        <v>250</v>
      </c>
      <c r="AC77" s="3">
        <f t="shared" ref="AC77" si="107">U$31</f>
        <v>270</v>
      </c>
      <c r="AD77" s="3"/>
      <c r="AE77" s="63" t="s">
        <v>38</v>
      </c>
      <c r="AF77" s="63"/>
      <c r="AG77" s="63"/>
      <c r="AH77" s="63"/>
      <c r="AI77" s="63"/>
      <c r="AJ77" s="63"/>
      <c r="AK77" s="3" t="s">
        <v>39</v>
      </c>
      <c r="AL77" s="3"/>
      <c r="AM77" s="3"/>
      <c r="AN77" s="3"/>
      <c r="AO77" s="3"/>
      <c r="AP77" s="3"/>
      <c r="AQ77" s="3" t="s">
        <v>43</v>
      </c>
      <c r="AR77" s="3"/>
      <c r="AS77" s="3"/>
      <c r="AT77" s="3"/>
      <c r="AU77" s="3"/>
      <c r="AV77" s="3"/>
      <c r="AW77" s="3" t="s">
        <v>44</v>
      </c>
      <c r="AX77" s="3"/>
      <c r="AY77" s="3"/>
      <c r="AZ77" s="3"/>
      <c r="BA77" s="3"/>
    </row>
    <row r="78" spans="23:53" x14ac:dyDescent="0.25">
      <c r="W78" s="3"/>
      <c r="X78" s="3"/>
      <c r="Y78" s="68">
        <f>Q$33</f>
        <v>117387.34067827118</v>
      </c>
      <c r="Z78" s="68">
        <f t="shared" ref="Z78" si="108">R$33</f>
        <v>129743.90285493129</v>
      </c>
      <c r="AA78" s="68">
        <f t="shared" ref="AA78" si="109">S$33</f>
        <v>142100.46503159142</v>
      </c>
      <c r="AB78" s="68">
        <f t="shared" ref="AB78" si="110">T$33</f>
        <v>154457.02720825156</v>
      </c>
      <c r="AC78" s="68">
        <f t="shared" ref="AC78" si="111">U$33</f>
        <v>166813.5893849117</v>
      </c>
      <c r="AD78" s="3"/>
      <c r="AE78" s="63"/>
      <c r="AF78" s="63"/>
      <c r="AG78" s="63"/>
      <c r="AH78" s="63"/>
      <c r="AI78" s="63"/>
      <c r="AJ78" s="6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23:53" ht="15.75" thickBot="1" x14ac:dyDescent="0.3">
      <c r="W79" s="3">
        <v>170</v>
      </c>
      <c r="X79" s="68">
        <f>$I$33</f>
        <v>112885.79403415232</v>
      </c>
      <c r="Y79" s="60"/>
      <c r="Z79" s="61"/>
      <c r="AA79" s="61">
        <v>2633.0325023567952</v>
      </c>
      <c r="AB79" s="41"/>
      <c r="AC79" s="42">
        <v>3426.5889731797279</v>
      </c>
      <c r="AD79" s="3"/>
      <c r="AE79" s="62">
        <f>(Y79*57.325+$X79)/($X79+Y79*57.325+Y$78+$Z$74*57.325)</f>
        <v>0.49022563650392698</v>
      </c>
      <c r="AF79" s="62">
        <f t="shared" ref="AF79:AI82" si="112">(Z79*57.325+$X79)/($X79+Z79*57.325+Z$78+$Z$74*57.325)</f>
        <v>0.46525959304048936</v>
      </c>
      <c r="AG79" s="62">
        <f t="shared" si="112"/>
        <v>0.64993405555338524</v>
      </c>
      <c r="AH79" s="59">
        <f t="shared" si="112"/>
        <v>0.42225107638778536</v>
      </c>
      <c r="AI79" s="59">
        <f t="shared" si="112"/>
        <v>0.64964593456702191</v>
      </c>
      <c r="AJ79" s="63"/>
      <c r="AK79" s="62">
        <f>$B$25/($X79/57.325+Y$78/57.325+Y79+$Z$74)</f>
        <v>1.1504901425251104</v>
      </c>
      <c r="AL79" s="62">
        <f t="shared" ref="AL79:AO82" si="113">$B$25/($X79/57.325+Z$78/57.325+Z79+$Z$74)</f>
        <v>1.0918983742377979</v>
      </c>
      <c r="AM79" s="62">
        <f t="shared" si="113"/>
        <v>0.65265029564235211</v>
      </c>
      <c r="AN79" s="59">
        <f t="shared" si="113"/>
        <v>0.99096347657222728</v>
      </c>
      <c r="AO79" s="59">
        <f t="shared" si="113"/>
        <v>0.55641894570097716</v>
      </c>
      <c r="AP79" s="3"/>
      <c r="AQ79" s="69">
        <f>$B$21*AK79*Y79</f>
        <v>0</v>
      </c>
      <c r="AR79" s="69">
        <f t="shared" ref="AR79:AR82" si="114">$B$21*AL79*Z79</f>
        <v>0</v>
      </c>
      <c r="AS79" s="69">
        <f t="shared" ref="AS79:AS82" si="115">$B$21*AM79*AA79</f>
        <v>4296.1236027477116</v>
      </c>
      <c r="AT79" s="70">
        <f t="shared" ref="AT79:AT82" si="116">$B$21*AN79*AB79</f>
        <v>0</v>
      </c>
      <c r="AU79" s="70">
        <f t="shared" ref="AU79:AU82" si="117">$B$21*AO79*AC79</f>
        <v>4766.5475595181451</v>
      </c>
      <c r="AV79" s="3"/>
      <c r="AW79" s="69">
        <f>$B$21*AK79*$Z$74</f>
        <v>0</v>
      </c>
      <c r="AX79" s="69">
        <f>$B$21*AL79*$Z$74</f>
        <v>0</v>
      </c>
      <c r="AY79" s="69">
        <f t="shared" ref="AY79:BA82" si="118">$B$21*AM79*$Z$74</f>
        <v>0</v>
      </c>
      <c r="AZ79" s="70">
        <f t="shared" si="118"/>
        <v>0</v>
      </c>
      <c r="BA79" s="70">
        <f t="shared" si="118"/>
        <v>0</v>
      </c>
    </row>
    <row r="80" spans="23:53" ht="15.75" thickBot="1" x14ac:dyDescent="0.3">
      <c r="W80" s="3">
        <v>190</v>
      </c>
      <c r="X80" s="68">
        <f>$J$33</f>
        <v>126166.47568522906</v>
      </c>
      <c r="Y80" s="56"/>
      <c r="Z80" s="57">
        <v>1998.5744867241037</v>
      </c>
      <c r="AA80" s="48"/>
      <c r="AB80" s="48"/>
      <c r="AC80" s="45"/>
      <c r="AD80" s="3"/>
      <c r="AE80" s="62">
        <f t="shared" ref="AE80:AE82" si="119">(Y80*57.325+$X80)/($X80+Y80*57.325+Y$78+$Z$74*57.325)</f>
        <v>0.51802298797456559</v>
      </c>
      <c r="AF80" s="62">
        <f t="shared" si="112"/>
        <v>0.64979385720176153</v>
      </c>
      <c r="AG80" s="62">
        <f t="shared" si="112"/>
        <v>0.47030198856447597</v>
      </c>
      <c r="AH80" s="62">
        <f t="shared" si="112"/>
        <v>0.44959340320514596</v>
      </c>
      <c r="AI80" s="59">
        <f t="shared" si="112"/>
        <v>0.43063160510604787</v>
      </c>
      <c r="AJ80" s="63"/>
      <c r="AK80" s="62">
        <f t="shared" ref="AK80:AK82" si="120">$B$25/($X80/57.325+Y$78/57.325+Y80+$Z$74)</f>
        <v>1.0877553697602536</v>
      </c>
      <c r="AL80" s="62">
        <f t="shared" si="113"/>
        <v>0.71509374079980503</v>
      </c>
      <c r="AM80" s="62">
        <f t="shared" si="113"/>
        <v>0.98754982953585013</v>
      </c>
      <c r="AN80" s="62">
        <f t="shared" si="113"/>
        <v>0.94406551426863672</v>
      </c>
      <c r="AO80" s="59">
        <f t="shared" si="113"/>
        <v>0.90424913896983183</v>
      </c>
      <c r="AP80" s="3"/>
      <c r="AQ80" s="69">
        <f t="shared" ref="AQ80:AQ82" si="121">$B$21*AK80*Y80</f>
        <v>0</v>
      </c>
      <c r="AR80" s="69">
        <f t="shared" si="114"/>
        <v>3572.9202649464742</v>
      </c>
      <c r="AS80" s="69">
        <f t="shared" si="115"/>
        <v>0</v>
      </c>
      <c r="AT80" s="69">
        <f t="shared" si="116"/>
        <v>0</v>
      </c>
      <c r="AU80" s="70">
        <f t="shared" si="117"/>
        <v>0</v>
      </c>
      <c r="AV80" s="3"/>
      <c r="AW80" s="69">
        <f t="shared" ref="AW80:AW82" si="122">$B$21*AK80*$Z$74</f>
        <v>0</v>
      </c>
      <c r="AX80" s="69">
        <f t="shared" ref="AX80:AX82" si="123">$B$21*AL80*$Z$74</f>
        <v>0</v>
      </c>
      <c r="AY80" s="69">
        <f t="shared" si="118"/>
        <v>0</v>
      </c>
      <c r="AZ80" s="69">
        <f t="shared" si="118"/>
        <v>0</v>
      </c>
      <c r="BA80" s="70">
        <f t="shared" si="118"/>
        <v>0</v>
      </c>
    </row>
    <row r="81" spans="22:54" ht="15.75" thickBot="1" x14ac:dyDescent="0.3">
      <c r="W81" s="3">
        <v>210</v>
      </c>
      <c r="X81" s="68">
        <f>$K$33</f>
        <v>139447.1573363058</v>
      </c>
      <c r="Y81" s="83">
        <v>1361.8437660694349</v>
      </c>
      <c r="Z81" s="48"/>
      <c r="AA81" s="48"/>
      <c r="AB81" s="48">
        <v>2570.5828997386066</v>
      </c>
      <c r="AC81" s="84">
        <v>2969.300735917544</v>
      </c>
      <c r="AD81" s="3"/>
      <c r="AE81" s="62">
        <f t="shared" si="119"/>
        <v>0.64948769068748724</v>
      </c>
      <c r="AF81" s="62">
        <f t="shared" si="112"/>
        <v>0.5180229879745657</v>
      </c>
      <c r="AG81" s="62">
        <f t="shared" si="112"/>
        <v>0.4952879948461818</v>
      </c>
      <c r="AH81" s="62">
        <f t="shared" si="112"/>
        <v>0.64996593875271658</v>
      </c>
      <c r="AI81" s="62">
        <f t="shared" si="112"/>
        <v>0.64990131632870796</v>
      </c>
      <c r="AJ81" s="3"/>
      <c r="AK81" s="105">
        <f t="shared" si="120"/>
        <v>0.79105774157053088</v>
      </c>
      <c r="AL81" s="62">
        <f t="shared" si="113"/>
        <v>0.98415962025927695</v>
      </c>
      <c r="AM81" s="62">
        <f t="shared" si="113"/>
        <v>0.94096682240427865</v>
      </c>
      <c r="AN81" s="106">
        <f t="shared" si="113"/>
        <v>0.60038358545713844</v>
      </c>
      <c r="AO81" s="95">
        <f t="shared" si="113"/>
        <v>0.55601335814082442</v>
      </c>
      <c r="AP81" s="3"/>
      <c r="AQ81" s="69">
        <f t="shared" si="121"/>
        <v>2693.2426348969839</v>
      </c>
      <c r="AR81" s="69">
        <f t="shared" si="114"/>
        <v>0</v>
      </c>
      <c r="AS81" s="69">
        <f t="shared" si="115"/>
        <v>0</v>
      </c>
      <c r="AT81" s="69">
        <f t="shared" si="116"/>
        <v>3858.3394451496815</v>
      </c>
      <c r="AU81" s="69">
        <f t="shared" si="117"/>
        <v>4127.4271837688375</v>
      </c>
      <c r="AV81" s="3"/>
      <c r="AW81" s="69">
        <f t="shared" si="122"/>
        <v>0</v>
      </c>
      <c r="AX81" s="69">
        <f t="shared" si="123"/>
        <v>0</v>
      </c>
      <c r="AY81" s="69">
        <f t="shared" si="118"/>
        <v>0</v>
      </c>
      <c r="AZ81" s="69">
        <f t="shared" si="118"/>
        <v>0</v>
      </c>
      <c r="BA81" s="69">
        <f t="shared" si="118"/>
        <v>0</v>
      </c>
    </row>
    <row r="82" spans="22:54" ht="15.75" thickBot="1" x14ac:dyDescent="0.3">
      <c r="W82" s="3">
        <v>230</v>
      </c>
      <c r="X82" s="68">
        <f>$L$33</f>
        <v>152727.83898738254</v>
      </c>
      <c r="Y82" s="43">
        <v>1136.5136419671205</v>
      </c>
      <c r="Z82" s="58">
        <v>1525.0116125825159</v>
      </c>
      <c r="AA82" s="58"/>
      <c r="AB82" s="57">
        <v>2326.9737348969679</v>
      </c>
      <c r="AC82" s="64">
        <v>2738.896755558656</v>
      </c>
      <c r="AD82" s="3"/>
      <c r="AE82" s="59">
        <f t="shared" si="119"/>
        <v>0.64986785944740588</v>
      </c>
      <c r="AF82" s="62">
        <f t="shared" si="112"/>
        <v>0.6492393977625317</v>
      </c>
      <c r="AG82" s="62">
        <f t="shared" si="112"/>
        <v>0.5180229879745657</v>
      </c>
      <c r="AH82" s="62">
        <f t="shared" si="112"/>
        <v>0.64942233974662966</v>
      </c>
      <c r="AI82" s="62">
        <f t="shared" si="112"/>
        <v>0.64995477969837656</v>
      </c>
      <c r="AJ82" s="3"/>
      <c r="AK82" s="59">
        <f t="shared" si="120"/>
        <v>0.79019975332690306</v>
      </c>
      <c r="AL82" s="62">
        <f t="shared" si="113"/>
        <v>0.7162259039062332</v>
      </c>
      <c r="AM82" s="62">
        <f t="shared" si="113"/>
        <v>0.89858052284542678</v>
      </c>
      <c r="AN82" s="62">
        <f t="shared" si="113"/>
        <v>0.60131597449140139</v>
      </c>
      <c r="AO82" s="95">
        <f t="shared" si="113"/>
        <v>0.5559284496590351</v>
      </c>
      <c r="AP82" s="3"/>
      <c r="AQ82" s="70">
        <f t="shared" si="121"/>
        <v>2245.1819988376969</v>
      </c>
      <c r="AR82" s="69">
        <f t="shared" si="114"/>
        <v>2730.6320517235367</v>
      </c>
      <c r="AS82" s="69">
        <f t="shared" si="115"/>
        <v>0</v>
      </c>
      <c r="AT82" s="69">
        <f t="shared" si="116"/>
        <v>3498.1161975386653</v>
      </c>
      <c r="AU82" s="69">
        <f t="shared" si="117"/>
        <v>3806.5765677347122</v>
      </c>
      <c r="AV82" s="3"/>
      <c r="AW82" s="70">
        <f t="shared" si="122"/>
        <v>0</v>
      </c>
      <c r="AX82" s="69">
        <f t="shared" si="123"/>
        <v>0</v>
      </c>
      <c r="AY82" s="69">
        <f t="shared" si="118"/>
        <v>0</v>
      </c>
      <c r="AZ82" s="69">
        <f t="shared" si="118"/>
        <v>0</v>
      </c>
      <c r="BA82" s="69">
        <f t="shared" si="118"/>
        <v>0</v>
      </c>
    </row>
    <row r="85" spans="22:54" x14ac:dyDescent="0.25"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</row>
    <row r="86" spans="22:54" x14ac:dyDescent="0.25"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</row>
    <row r="87" spans="22:54" x14ac:dyDescent="0.25"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</row>
    <row r="88" spans="22:54" x14ac:dyDescent="0.25">
      <c r="V88" s="72"/>
      <c r="W88" s="72"/>
      <c r="X88" s="72"/>
      <c r="Y88" s="72"/>
      <c r="Z88" s="36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</row>
    <row r="89" spans="22:54" x14ac:dyDescent="0.25">
      <c r="V89" s="72"/>
      <c r="W89" s="72"/>
      <c r="X89" s="72"/>
      <c r="Y89" s="72"/>
      <c r="Z89" s="72"/>
      <c r="AA89" s="72"/>
      <c r="AB89" s="72"/>
      <c r="AC89" s="72"/>
      <c r="AD89" s="48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</row>
    <row r="90" spans="22:54" x14ac:dyDescent="0.25">
      <c r="V90" s="72"/>
      <c r="W90" s="72"/>
      <c r="X90" s="72"/>
      <c r="Y90" s="72"/>
      <c r="Z90" s="72"/>
      <c r="AA90" s="72"/>
      <c r="AB90" s="72"/>
      <c r="AC90" s="72"/>
      <c r="AD90" s="72"/>
      <c r="AE90" s="36"/>
      <c r="AF90" s="36"/>
      <c r="AG90" s="36"/>
      <c r="AH90" s="36"/>
      <c r="AI90" s="36"/>
      <c r="AJ90" s="36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</row>
    <row r="91" spans="22:54" x14ac:dyDescent="0.25">
      <c r="V91" s="72"/>
      <c r="W91" s="72"/>
      <c r="X91" s="72"/>
      <c r="Y91" s="48"/>
      <c r="Z91" s="48"/>
      <c r="AA91" s="48"/>
      <c r="AB91" s="48"/>
      <c r="AC91" s="48"/>
      <c r="AD91" s="72"/>
      <c r="AE91" s="36"/>
      <c r="AF91" s="36"/>
      <c r="AG91" s="36"/>
      <c r="AH91" s="36"/>
      <c r="AI91" s="36"/>
      <c r="AJ91" s="36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</row>
    <row r="92" spans="22:54" x14ac:dyDescent="0.25">
      <c r="V92" s="72"/>
      <c r="W92" s="72"/>
      <c r="X92" s="48"/>
      <c r="Y92" s="48"/>
      <c r="Z92" s="48"/>
      <c r="AA92" s="48"/>
      <c r="AB92" s="48"/>
      <c r="AC92" s="48"/>
      <c r="AD92" s="72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72"/>
      <c r="AQ92" s="48"/>
      <c r="AR92" s="48"/>
      <c r="AS92" s="48"/>
      <c r="AT92" s="48"/>
      <c r="AU92" s="48"/>
      <c r="AV92" s="72"/>
      <c r="AW92" s="48"/>
      <c r="AX92" s="48"/>
      <c r="AY92" s="48"/>
      <c r="AZ92" s="48"/>
      <c r="BA92" s="48"/>
      <c r="BB92" s="72"/>
    </row>
    <row r="93" spans="22:54" x14ac:dyDescent="0.25">
      <c r="V93" s="72"/>
      <c r="W93" s="72"/>
      <c r="X93" s="48"/>
      <c r="Y93" s="48"/>
      <c r="Z93" s="48"/>
      <c r="AA93" s="48"/>
      <c r="AB93" s="48"/>
      <c r="AC93" s="48"/>
      <c r="AD93" s="72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72"/>
      <c r="AQ93" s="48"/>
      <c r="AR93" s="48"/>
      <c r="AS93" s="48"/>
      <c r="AT93" s="48"/>
      <c r="AU93" s="48"/>
      <c r="AV93" s="72"/>
      <c r="AW93" s="48"/>
      <c r="AX93" s="48"/>
      <c r="AY93" s="48"/>
      <c r="AZ93" s="48"/>
      <c r="BA93" s="48"/>
      <c r="BB93" s="72"/>
    </row>
    <row r="94" spans="22:54" x14ac:dyDescent="0.25">
      <c r="V94" s="72"/>
      <c r="W94" s="72"/>
      <c r="X94" s="48"/>
      <c r="Y94" s="48"/>
      <c r="Z94" s="48"/>
      <c r="AA94" s="48"/>
      <c r="AB94" s="48"/>
      <c r="AC94" s="48"/>
      <c r="AD94" s="72"/>
      <c r="AE94" s="36"/>
      <c r="AF94" s="36"/>
      <c r="AG94" s="36"/>
      <c r="AH94" s="36"/>
      <c r="AI94" s="36"/>
      <c r="AJ94" s="72"/>
      <c r="AK94" s="36"/>
      <c r="AL94" s="36"/>
      <c r="AM94" s="36"/>
      <c r="AN94" s="36"/>
      <c r="AO94" s="36"/>
      <c r="AP94" s="72"/>
      <c r="AQ94" s="48"/>
      <c r="AR94" s="48"/>
      <c r="AS94" s="48"/>
      <c r="AT94" s="48"/>
      <c r="AU94" s="48"/>
      <c r="AV94" s="72"/>
      <c r="AW94" s="48"/>
      <c r="AX94" s="48"/>
      <c r="AY94" s="48"/>
      <c r="AZ94" s="48"/>
      <c r="BA94" s="48"/>
      <c r="BB94" s="72"/>
    </row>
    <row r="95" spans="22:54" x14ac:dyDescent="0.25">
      <c r="V95" s="72"/>
      <c r="W95" s="72"/>
      <c r="X95" s="48"/>
      <c r="Y95" s="48"/>
      <c r="Z95" s="48"/>
      <c r="AA95" s="48"/>
      <c r="AB95" s="48"/>
      <c r="AC95" s="48"/>
      <c r="AD95" s="72"/>
      <c r="AE95" s="36"/>
      <c r="AF95" s="36"/>
      <c r="AG95" s="36"/>
      <c r="AH95" s="36"/>
      <c r="AI95" s="36"/>
      <c r="AJ95" s="72"/>
      <c r="AK95" s="36"/>
      <c r="AL95" s="36"/>
      <c r="AM95" s="36"/>
      <c r="AN95" s="36"/>
      <c r="AO95" s="36"/>
      <c r="AP95" s="72"/>
      <c r="AQ95" s="48"/>
      <c r="AR95" s="48"/>
      <c r="AS95" s="48"/>
      <c r="AT95" s="48"/>
      <c r="AU95" s="48"/>
      <c r="AV95" s="72"/>
      <c r="AW95" s="48"/>
      <c r="AX95" s="48"/>
      <c r="AY95" s="48"/>
      <c r="AZ95" s="48"/>
      <c r="BA95" s="48"/>
      <c r="BB95" s="72"/>
    </row>
    <row r="96" spans="22:54" x14ac:dyDescent="0.25"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</row>
    <row r="97" spans="22:54" x14ac:dyDescent="0.25"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</row>
    <row r="98" spans="22:54" x14ac:dyDescent="0.25"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</row>
    <row r="99" spans="22:54" x14ac:dyDescent="0.25"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</row>
    <row r="100" spans="22:54" x14ac:dyDescent="0.25"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</row>
    <row r="101" spans="22:54" x14ac:dyDescent="0.25">
      <c r="V101" s="72"/>
      <c r="W101" s="72"/>
      <c r="X101" s="72"/>
      <c r="Y101" s="72"/>
      <c r="Z101" s="36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</row>
    <row r="102" spans="22:54" x14ac:dyDescent="0.25">
      <c r="V102" s="72"/>
      <c r="W102" s="72"/>
      <c r="X102" s="72"/>
      <c r="Y102" s="72"/>
      <c r="Z102" s="72"/>
      <c r="AA102" s="72"/>
      <c r="AB102" s="72"/>
      <c r="AC102" s="72"/>
      <c r="AD102" s="48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</row>
    <row r="103" spans="22:54" x14ac:dyDescent="0.25">
      <c r="V103" s="72"/>
      <c r="W103" s="72"/>
      <c r="X103" s="72"/>
      <c r="Y103" s="72"/>
      <c r="Z103" s="72"/>
      <c r="AA103" s="72"/>
      <c r="AB103" s="72"/>
      <c r="AC103" s="72"/>
      <c r="AD103" s="72"/>
      <c r="AE103" s="36"/>
      <c r="AF103" s="36"/>
      <c r="AG103" s="36"/>
      <c r="AH103" s="36"/>
      <c r="AI103" s="36"/>
      <c r="AJ103" s="36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</row>
    <row r="104" spans="22:54" x14ac:dyDescent="0.25">
      <c r="V104" s="72"/>
      <c r="W104" s="72"/>
      <c r="X104" s="72"/>
      <c r="Y104" s="48"/>
      <c r="Z104" s="48"/>
      <c r="AA104" s="48"/>
      <c r="AB104" s="48"/>
      <c r="AC104" s="48"/>
      <c r="AD104" s="72"/>
      <c r="AE104" s="36"/>
      <c r="AF104" s="36"/>
      <c r="AG104" s="36"/>
      <c r="AH104" s="36"/>
      <c r="AI104" s="36"/>
      <c r="AJ104" s="36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</row>
    <row r="105" spans="22:54" x14ac:dyDescent="0.25">
      <c r="V105" s="72"/>
      <c r="W105" s="72"/>
      <c r="X105" s="48"/>
      <c r="Y105" s="48"/>
      <c r="Z105" s="48"/>
      <c r="AA105" s="48"/>
      <c r="AB105" s="48"/>
      <c r="AC105" s="48"/>
      <c r="AD105" s="72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72"/>
      <c r="AQ105" s="48"/>
      <c r="AR105" s="48"/>
      <c r="AS105" s="48"/>
      <c r="AT105" s="48"/>
      <c r="AU105" s="48"/>
      <c r="AV105" s="72"/>
      <c r="AW105" s="48"/>
      <c r="AX105" s="48"/>
      <c r="AY105" s="48"/>
      <c r="AZ105" s="48"/>
      <c r="BA105" s="48"/>
      <c r="BB105" s="72"/>
    </row>
    <row r="106" spans="22:54" x14ac:dyDescent="0.25">
      <c r="V106" s="72"/>
      <c r="W106" s="72"/>
      <c r="X106" s="48"/>
      <c r="Y106" s="48"/>
      <c r="Z106" s="48"/>
      <c r="AA106" s="48"/>
      <c r="AB106" s="48"/>
      <c r="AC106" s="48"/>
      <c r="AD106" s="72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72"/>
      <c r="AQ106" s="48"/>
      <c r="AR106" s="48"/>
      <c r="AS106" s="48"/>
      <c r="AT106" s="48"/>
      <c r="AU106" s="48"/>
      <c r="AV106" s="72"/>
      <c r="AW106" s="48"/>
      <c r="AX106" s="48"/>
      <c r="AY106" s="48"/>
      <c r="AZ106" s="48"/>
      <c r="BA106" s="48"/>
      <c r="BB106" s="72"/>
    </row>
    <row r="107" spans="22:54" x14ac:dyDescent="0.25">
      <c r="V107" s="72"/>
      <c r="W107" s="72"/>
      <c r="X107" s="48"/>
      <c r="Y107" s="48"/>
      <c r="Z107" s="48"/>
      <c r="AA107" s="48"/>
      <c r="AB107" s="48"/>
      <c r="AC107" s="48"/>
      <c r="AD107" s="72"/>
      <c r="AE107" s="36"/>
      <c r="AF107" s="36"/>
      <c r="AG107" s="36"/>
      <c r="AH107" s="36"/>
      <c r="AI107" s="36"/>
      <c r="AJ107" s="72"/>
      <c r="AK107" s="36"/>
      <c r="AL107" s="36"/>
      <c r="AM107" s="36"/>
      <c r="AN107" s="36"/>
      <c r="AO107" s="36"/>
      <c r="AP107" s="72"/>
      <c r="AQ107" s="48"/>
      <c r="AR107" s="48"/>
      <c r="AS107" s="48"/>
      <c r="AT107" s="48"/>
      <c r="AU107" s="48"/>
      <c r="AV107" s="72"/>
      <c r="AW107" s="48"/>
      <c r="AX107" s="48"/>
      <c r="AY107" s="48"/>
      <c r="AZ107" s="48"/>
      <c r="BA107" s="48"/>
      <c r="BB107" s="72"/>
    </row>
    <row r="108" spans="22:54" x14ac:dyDescent="0.25">
      <c r="V108" s="72"/>
      <c r="W108" s="72"/>
      <c r="X108" s="48"/>
      <c r="Y108" s="48"/>
      <c r="Z108" s="48"/>
      <c r="AA108" s="48"/>
      <c r="AB108" s="48"/>
      <c r="AC108" s="48"/>
      <c r="AD108" s="72"/>
      <c r="AE108" s="36"/>
      <c r="AF108" s="36"/>
      <c r="AG108" s="36"/>
      <c r="AH108" s="36"/>
      <c r="AI108" s="36"/>
      <c r="AJ108" s="72"/>
      <c r="AK108" s="36"/>
      <c r="AL108" s="36"/>
      <c r="AM108" s="36"/>
      <c r="AN108" s="36"/>
      <c r="AO108" s="36"/>
      <c r="AP108" s="72"/>
      <c r="AQ108" s="48"/>
      <c r="AR108" s="48"/>
      <c r="AS108" s="48"/>
      <c r="AT108" s="48"/>
      <c r="AU108" s="48"/>
      <c r="AV108" s="72"/>
      <c r="AW108" s="48"/>
      <c r="AX108" s="48"/>
      <c r="AY108" s="48"/>
      <c r="AZ108" s="48"/>
      <c r="BA108" s="48"/>
      <c r="BB108" s="72"/>
    </row>
    <row r="109" spans="22:54" x14ac:dyDescent="0.25"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</row>
    <row r="110" spans="22:54" x14ac:dyDescent="0.25"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</row>
    <row r="111" spans="22:54" x14ac:dyDescent="0.25"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</row>
    <row r="134" spans="23:47" x14ac:dyDescent="0.25">
      <c r="W134" t="s">
        <v>40</v>
      </c>
      <c r="Z134">
        <v>0</v>
      </c>
      <c r="AA134" t="s">
        <v>41</v>
      </c>
    </row>
    <row r="135" spans="23:47" x14ac:dyDescent="0.25">
      <c r="W135" t="s">
        <v>36</v>
      </c>
      <c r="Z135" s="7">
        <v>0.65</v>
      </c>
    </row>
    <row r="136" spans="23:47" x14ac:dyDescent="0.25">
      <c r="AD136" s="4"/>
    </row>
    <row r="137" spans="23:47" x14ac:dyDescent="0.25">
      <c r="W137" t="s">
        <v>37</v>
      </c>
      <c r="Y137">
        <f>Q$31</f>
        <v>190</v>
      </c>
      <c r="Z137">
        <f t="shared" ref="Z137" si="124">R$31</f>
        <v>210</v>
      </c>
      <c r="AA137">
        <f t="shared" ref="AA137" si="125">S$31</f>
        <v>230</v>
      </c>
      <c r="AB137">
        <f t="shared" ref="AB137" si="126">T$31</f>
        <v>250</v>
      </c>
      <c r="AC137">
        <f t="shared" ref="AC137" si="127">U$31</f>
        <v>270</v>
      </c>
      <c r="AE137" s="7" t="s">
        <v>38</v>
      </c>
      <c r="AF137" s="7"/>
      <c r="AG137" s="7"/>
      <c r="AH137" s="7"/>
      <c r="AI137" s="7"/>
      <c r="AJ137" s="7"/>
      <c r="AK137" t="s">
        <v>39</v>
      </c>
    </row>
    <row r="138" spans="23:47" x14ac:dyDescent="0.25">
      <c r="Y138" s="4">
        <f>Q$33</f>
        <v>117387.34067827118</v>
      </c>
      <c r="Z138" s="4">
        <f t="shared" ref="Z138" si="128">R$33</f>
        <v>129743.90285493129</v>
      </c>
      <c r="AA138" s="4">
        <f t="shared" ref="AA138" si="129">S$33</f>
        <v>142100.46503159142</v>
      </c>
      <c r="AB138" s="4">
        <f t="shared" ref="AB138" si="130">T$33</f>
        <v>154457.02720825156</v>
      </c>
      <c r="AC138" s="4">
        <f t="shared" ref="AC138" si="131">U$33</f>
        <v>166813.5893849117</v>
      </c>
      <c r="AE138" s="7"/>
      <c r="AF138" s="7"/>
      <c r="AG138" s="7"/>
      <c r="AH138" s="7"/>
      <c r="AI138" s="7"/>
      <c r="AJ138" s="7"/>
    </row>
    <row r="139" spans="23:47" ht="15.75" thickBot="1" x14ac:dyDescent="0.3">
      <c r="W139">
        <v>170</v>
      </c>
      <c r="X139" s="4">
        <f>$I$33</f>
        <v>112885.79403415232</v>
      </c>
      <c r="Y139" s="27">
        <v>2111.6043677354278</v>
      </c>
      <c r="Z139" s="28">
        <v>2417.7730028187716</v>
      </c>
      <c r="AA139" s="41">
        <v>2817.7643596665157</v>
      </c>
      <c r="AB139" s="41"/>
      <c r="AC139" s="42">
        <v>3604.4535907301574</v>
      </c>
      <c r="AE139" s="35">
        <f t="shared" ref="AE139:AI142" si="132">(Y139*57.325+$X139)/($X139+Y139*57.325+Y$138+$Z$134*57.325)</f>
        <v>0.66586856721829168</v>
      </c>
      <c r="AF139" s="35">
        <f t="shared" si="132"/>
        <v>0.65966896181723811</v>
      </c>
      <c r="AG139" s="35">
        <f t="shared" si="132"/>
        <v>0.65883437292231339</v>
      </c>
      <c r="AH139" s="35">
        <f t="shared" si="132"/>
        <v>0.42225107638778536</v>
      </c>
      <c r="AI139" s="37">
        <f t="shared" si="132"/>
        <v>0.65699131803112898</v>
      </c>
      <c r="AJ139" s="7"/>
      <c r="AK139" s="36">
        <f t="shared" ref="AK139:AO142" si="133">$B$25/($X139/57.325+Y$138/57.325+Y139+$Z$134)</f>
        <v>0.75408837173921184</v>
      </c>
      <c r="AL139" s="36">
        <f t="shared" si="133"/>
        <v>0.69492954423875586</v>
      </c>
      <c r="AM139" s="36">
        <f t="shared" si="133"/>
        <v>0.6360568655921246</v>
      </c>
      <c r="AN139" s="36">
        <f t="shared" si="133"/>
        <v>0.99096347657222728</v>
      </c>
      <c r="AO139" s="36">
        <f t="shared" si="133"/>
        <v>0.54475328822439895</v>
      </c>
      <c r="AQ139" s="48">
        <f>$B$21*AK139*Y139</f>
        <v>3980.8407485575417</v>
      </c>
      <c r="AR139" s="48">
        <f t="shared" ref="AR139:AR142" si="134">$B$21*AL139*Z139</f>
        <v>4200.4547273040425</v>
      </c>
      <c r="AS139" s="48">
        <f t="shared" ref="AS139:AS142" si="135">$B$21*AM139*AA139</f>
        <v>4480.6459164667103</v>
      </c>
      <c r="AT139" s="48">
        <f t="shared" ref="AT139:AT142" si="136">$B$21*AN139*AB139</f>
        <v>0</v>
      </c>
      <c r="AU139" s="48">
        <f t="shared" ref="AU139:AU142" si="137">$B$21*AO139*AC139</f>
        <v>4908.8448645062381</v>
      </c>
    </row>
    <row r="140" spans="23:47" ht="15.75" thickBot="1" x14ac:dyDescent="0.3">
      <c r="W140">
        <v>190</v>
      </c>
      <c r="X140" s="4">
        <f>$J$33</f>
        <v>126166.47568522906</v>
      </c>
      <c r="Y140" s="29"/>
      <c r="Z140" s="55">
        <v>2186.4674258939135</v>
      </c>
      <c r="AA140" s="46">
        <v>2585.5764171825194</v>
      </c>
      <c r="AB140" s="44"/>
      <c r="AC140" s="45"/>
      <c r="AE140" s="35">
        <f t="shared" si="132"/>
        <v>0.51802298797456559</v>
      </c>
      <c r="AF140" s="35">
        <f t="shared" si="132"/>
        <v>0.65968778779182247</v>
      </c>
      <c r="AG140" s="35">
        <f t="shared" si="132"/>
        <v>0.65881021429513653</v>
      </c>
      <c r="AH140" s="35">
        <f t="shared" si="132"/>
        <v>0.44959340320514596</v>
      </c>
      <c r="AI140" s="37">
        <f t="shared" si="132"/>
        <v>0.43063160510604787</v>
      </c>
      <c r="AJ140" s="7"/>
      <c r="AK140" s="36">
        <f t="shared" si="133"/>
        <v>1.0877553697602536</v>
      </c>
      <c r="AL140" s="36">
        <f t="shared" si="133"/>
        <v>0.69489110306099089</v>
      </c>
      <c r="AM140" s="36">
        <f t="shared" si="133"/>
        <v>0.63610190606355399</v>
      </c>
      <c r="AN140" s="36">
        <f t="shared" si="133"/>
        <v>0.94406551426863672</v>
      </c>
      <c r="AO140" s="36">
        <f t="shared" si="133"/>
        <v>0.90424913896983183</v>
      </c>
      <c r="AQ140" s="48">
        <f t="shared" ref="AQ140:AQ142" si="138">$B$21*AK140*Y140</f>
        <v>0</v>
      </c>
      <c r="AR140" s="48">
        <f t="shared" si="134"/>
        <v>3798.3919034658675</v>
      </c>
      <c r="AS140" s="48">
        <f t="shared" si="135"/>
        <v>4111.7252181069389</v>
      </c>
      <c r="AT140" s="48">
        <f t="shared" si="136"/>
        <v>0</v>
      </c>
      <c r="AU140" s="48">
        <f t="shared" si="137"/>
        <v>0</v>
      </c>
    </row>
    <row r="141" spans="23:47" x14ac:dyDescent="0.25">
      <c r="W141">
        <v>210</v>
      </c>
      <c r="X141" s="4">
        <f>$K$33</f>
        <v>139447.1573363058</v>
      </c>
      <c r="Y141" s="29"/>
      <c r="Z141" s="30"/>
      <c r="AA141" s="30"/>
      <c r="AB141" s="44">
        <v>2755.6792769000854</v>
      </c>
      <c r="AC141" s="45"/>
      <c r="AE141" s="35">
        <f t="shared" si="132"/>
        <v>0.54294558719440911</v>
      </c>
      <c r="AF141" s="35">
        <f t="shared" si="132"/>
        <v>0.5180229879745657</v>
      </c>
      <c r="AG141" s="35">
        <f t="shared" si="132"/>
        <v>0.4952879948461818</v>
      </c>
      <c r="AH141" s="35">
        <f t="shared" si="132"/>
        <v>0.65818524981365978</v>
      </c>
      <c r="AI141" s="37">
        <f t="shared" si="132"/>
        <v>0.45532167876297092</v>
      </c>
      <c r="AK141" s="36">
        <f t="shared" si="133"/>
        <v>1.031508514716601</v>
      </c>
      <c r="AL141" s="36">
        <f t="shared" si="133"/>
        <v>0.98415962025927695</v>
      </c>
      <c r="AM141" s="36">
        <f t="shared" si="133"/>
        <v>0.94096682240427865</v>
      </c>
      <c r="AN141" s="36">
        <f t="shared" si="133"/>
        <v>0.58628570187640194</v>
      </c>
      <c r="AO141" s="36">
        <f t="shared" si="133"/>
        <v>0.86503730697214476</v>
      </c>
      <c r="AQ141" s="48">
        <f t="shared" si="138"/>
        <v>0</v>
      </c>
      <c r="AR141" s="48">
        <f t="shared" si="134"/>
        <v>0</v>
      </c>
      <c r="AS141" s="48">
        <f t="shared" si="135"/>
        <v>0</v>
      </c>
      <c r="AT141" s="48">
        <f t="shared" si="136"/>
        <v>4039.0383975090558</v>
      </c>
      <c r="AU141" s="48">
        <f t="shared" si="137"/>
        <v>0</v>
      </c>
    </row>
    <row r="142" spans="23:47" x14ac:dyDescent="0.25">
      <c r="W142">
        <v>230</v>
      </c>
      <c r="X142" s="4">
        <f>$L$33</f>
        <v>152727.83898738254</v>
      </c>
      <c r="Y142" s="32"/>
      <c r="Z142" s="33"/>
      <c r="AA142" s="33"/>
      <c r="AB142" s="33">
        <v>2504.2465926499958</v>
      </c>
      <c r="AC142" s="47"/>
      <c r="AE142" s="38">
        <f t="shared" si="132"/>
        <v>0.56541746071593513</v>
      </c>
      <c r="AF142" s="38">
        <f t="shared" si="132"/>
        <v>0.54068360251285186</v>
      </c>
      <c r="AG142" s="38">
        <f t="shared" si="132"/>
        <v>0.5180229879745657</v>
      </c>
      <c r="AH142" s="38">
        <f t="shared" si="132"/>
        <v>0.65732628046534769</v>
      </c>
      <c r="AI142" s="39">
        <f t="shared" si="132"/>
        <v>0.47795943006626668</v>
      </c>
      <c r="AK142" s="36">
        <f t="shared" si="133"/>
        <v>0.98079260818634639</v>
      </c>
      <c r="AL142" s="36">
        <f t="shared" si="133"/>
        <v>0.93788840556975828</v>
      </c>
      <c r="AM142" s="36">
        <f t="shared" si="133"/>
        <v>0.89858052284542678</v>
      </c>
      <c r="AN142" s="36">
        <f t="shared" si="133"/>
        <v>0.58775901877390557</v>
      </c>
      <c r="AO142" s="36">
        <f t="shared" si="133"/>
        <v>0.82908489495245219</v>
      </c>
      <c r="AQ142" s="48">
        <f t="shared" si="138"/>
        <v>0</v>
      </c>
      <c r="AR142" s="48">
        <f t="shared" si="134"/>
        <v>0</v>
      </c>
      <c r="AS142" s="48">
        <f t="shared" si="135"/>
        <v>0</v>
      </c>
      <c r="AT142" s="48">
        <f t="shared" si="136"/>
        <v>3679.7338001596449</v>
      </c>
      <c r="AU142" s="48">
        <f t="shared" si="137"/>
        <v>0</v>
      </c>
    </row>
  </sheetData>
  <mergeCells count="18">
    <mergeCell ref="AD5:AE5"/>
    <mergeCell ref="AL3:AM3"/>
    <mergeCell ref="AL4:AM4"/>
    <mergeCell ref="AD2:AE2"/>
    <mergeCell ref="AD3:AE3"/>
    <mergeCell ref="AD4:AE4"/>
    <mergeCell ref="A24:B24"/>
    <mergeCell ref="Z4:AA4"/>
    <mergeCell ref="Z5:AA5"/>
    <mergeCell ref="Z2:AA2"/>
    <mergeCell ref="Z3:AA3"/>
    <mergeCell ref="F38:G38"/>
    <mergeCell ref="N36:P37"/>
    <mergeCell ref="Q36:R36"/>
    <mergeCell ref="N38:O38"/>
    <mergeCell ref="D26:E26"/>
    <mergeCell ref="F36:H37"/>
    <mergeCell ref="I36:J36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desired roll grad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Francesca.Jourdan</dc:creator>
  <cp:lastModifiedBy>Francesca.Jourdan</cp:lastModifiedBy>
  <dcterms:created xsi:type="dcterms:W3CDTF">2019-11-04T13:40:56Z</dcterms:created>
  <dcterms:modified xsi:type="dcterms:W3CDTF">2019-11-26T15:25:23Z</dcterms:modified>
</cp:coreProperties>
</file>