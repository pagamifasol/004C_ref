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"/>
    </mc:Choice>
  </mc:AlternateContent>
  <xr:revisionPtr revIDLastSave="0" documentId="8_{3EB5492F-C6D8-4767-83B2-564E8FDDE40A}" xr6:coauthVersionLast="45" xr6:coauthVersionMax="45" xr10:uidLastSave="{00000000-0000-0000-0000-000000000000}"/>
  <bookViews>
    <workbookView xWindow="8700" yWindow="1935" windowWidth="28800" windowHeight="11385" xr2:uid="{F421E49E-C8CF-429A-B43D-CD17044159B6}"/>
  </bookViews>
  <sheets>
    <sheet name="Kinematics" sheetId="1" r:id="rId1"/>
    <sheet name="Braking_Simulations" sheetId="6" r:id="rId2"/>
    <sheet name="Chicane_R100_Sim_Soft" sheetId="8" r:id="rId3"/>
    <sheet name="Chicane_R100_Sim_Stiff" sheetId="9" r:id="rId4"/>
    <sheet name="Lambo_AeroMap_Front" sheetId="3" r:id="rId5"/>
    <sheet name="Lambo_AeroMap_Rear" sheetId="5" r:id="rId6"/>
    <sheet name="Lambo_AeroMap_Drag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5" i="1" l="1"/>
  <c r="H36" i="1" s="1"/>
  <c r="I35" i="1"/>
  <c r="I36" i="1" s="1"/>
  <c r="H37" i="1" l="1"/>
  <c r="I37" i="1"/>
  <c r="L26" i="4"/>
  <c r="K26" i="4"/>
  <c r="J26" i="4"/>
  <c r="I26" i="4"/>
  <c r="H26" i="4"/>
  <c r="G26" i="4"/>
  <c r="F26" i="4"/>
  <c r="E26" i="4"/>
  <c r="L25" i="4"/>
  <c r="K25" i="4"/>
  <c r="J25" i="4"/>
  <c r="I25" i="4"/>
  <c r="H25" i="4"/>
  <c r="G25" i="4"/>
  <c r="F25" i="4"/>
  <c r="E25" i="4"/>
  <c r="L24" i="4"/>
  <c r="K24" i="4"/>
  <c r="J24" i="4"/>
  <c r="I24" i="4"/>
  <c r="H24" i="4"/>
  <c r="G24" i="4"/>
  <c r="F24" i="4"/>
  <c r="E24" i="4"/>
  <c r="L23" i="4"/>
  <c r="K23" i="4"/>
  <c r="J23" i="4"/>
  <c r="I23" i="4"/>
  <c r="H23" i="4"/>
  <c r="G23" i="4"/>
  <c r="F23" i="4"/>
  <c r="E23" i="4"/>
  <c r="L22" i="4"/>
  <c r="K22" i="4"/>
  <c r="J22" i="4"/>
  <c r="I22" i="4"/>
  <c r="H22" i="4"/>
  <c r="G22" i="4"/>
  <c r="F22" i="4"/>
  <c r="E22" i="4"/>
  <c r="L21" i="4"/>
  <c r="K21" i="4"/>
  <c r="J21" i="4"/>
  <c r="I21" i="4"/>
  <c r="H21" i="4"/>
  <c r="G21" i="4"/>
  <c r="F21" i="4"/>
  <c r="E21" i="4"/>
  <c r="L20" i="4"/>
  <c r="K20" i="4"/>
  <c r="J20" i="4"/>
  <c r="I20" i="4"/>
  <c r="H20" i="4"/>
  <c r="G20" i="4"/>
  <c r="F20" i="4"/>
  <c r="E20" i="4"/>
  <c r="E25" i="5"/>
  <c r="F8" i="5"/>
  <c r="F23" i="5" s="1"/>
  <c r="E8" i="5"/>
  <c r="E23" i="5" s="1"/>
  <c r="F9" i="5"/>
  <c r="F24" i="5" s="1"/>
  <c r="G9" i="5"/>
  <c r="G24" i="5" s="1"/>
  <c r="E9" i="5"/>
  <c r="F10" i="5"/>
  <c r="G10" i="5"/>
  <c r="H10" i="5"/>
  <c r="I10" i="5"/>
  <c r="J10" i="5"/>
  <c r="J25" i="5" s="1"/>
  <c r="E10" i="5"/>
  <c r="E24" i="5" s="1"/>
  <c r="L9" i="5"/>
  <c r="L24" i="5" s="1"/>
  <c r="K9" i="5"/>
  <c r="K24" i="5" s="1"/>
  <c r="L8" i="5"/>
  <c r="L23" i="5" s="1"/>
  <c r="K8" i="5"/>
  <c r="K23" i="5" s="1"/>
  <c r="K7" i="5"/>
  <c r="K22" i="5" s="1"/>
  <c r="L7" i="5"/>
  <c r="L22" i="5"/>
  <c r="L6" i="5"/>
  <c r="L21" i="5" s="1"/>
  <c r="K6" i="5"/>
  <c r="K21" i="5" s="1"/>
  <c r="K5" i="5"/>
  <c r="L5" i="5"/>
  <c r="L20" i="5" s="1"/>
  <c r="J5" i="5"/>
  <c r="J20" i="5" s="1"/>
  <c r="K26" i="5"/>
  <c r="J26" i="5"/>
  <c r="G26" i="5"/>
  <c r="F26" i="5"/>
  <c r="L25" i="5"/>
  <c r="K25" i="5"/>
  <c r="I25" i="5"/>
  <c r="H25" i="5"/>
  <c r="G25" i="5"/>
  <c r="J24" i="5"/>
  <c r="I24" i="5"/>
  <c r="H24" i="5"/>
  <c r="J23" i="5"/>
  <c r="I23" i="5"/>
  <c r="H23" i="5"/>
  <c r="G23" i="5"/>
  <c r="J22" i="5"/>
  <c r="I22" i="5"/>
  <c r="H22" i="5"/>
  <c r="G22" i="5"/>
  <c r="F22" i="5"/>
  <c r="E22" i="5"/>
  <c r="J21" i="5"/>
  <c r="I21" i="5"/>
  <c r="H21" i="5"/>
  <c r="G21" i="5"/>
  <c r="F21" i="5"/>
  <c r="E21" i="5"/>
  <c r="I20" i="5"/>
  <c r="H20" i="5"/>
  <c r="G20" i="5"/>
  <c r="F20" i="5"/>
  <c r="E20" i="5"/>
  <c r="L26" i="5"/>
  <c r="I26" i="5"/>
  <c r="H26" i="5"/>
  <c r="E26" i="5"/>
  <c r="F25" i="5"/>
  <c r="K20" i="5"/>
  <c r="F8" i="4"/>
  <c r="E8" i="4"/>
  <c r="E21" i="3"/>
  <c r="F21" i="3"/>
  <c r="G21" i="3"/>
  <c r="H21" i="3"/>
  <c r="I21" i="3"/>
  <c r="J21" i="3"/>
  <c r="K21" i="3"/>
  <c r="L21" i="3"/>
  <c r="E22" i="3"/>
  <c r="F22" i="3"/>
  <c r="G22" i="3"/>
  <c r="H22" i="3"/>
  <c r="I22" i="3"/>
  <c r="J22" i="3"/>
  <c r="K22" i="3"/>
  <c r="L22" i="3"/>
  <c r="E23" i="3"/>
  <c r="F23" i="3"/>
  <c r="G23" i="3"/>
  <c r="H23" i="3"/>
  <c r="I23" i="3"/>
  <c r="J23" i="3"/>
  <c r="K23" i="3"/>
  <c r="L23" i="3"/>
  <c r="E24" i="3"/>
  <c r="F24" i="3"/>
  <c r="G24" i="3"/>
  <c r="H24" i="3"/>
  <c r="I24" i="3"/>
  <c r="J24" i="3"/>
  <c r="K24" i="3"/>
  <c r="L24" i="3"/>
  <c r="E25" i="3"/>
  <c r="F25" i="3"/>
  <c r="G25" i="3"/>
  <c r="H25" i="3"/>
  <c r="I25" i="3"/>
  <c r="J25" i="3"/>
  <c r="K25" i="3"/>
  <c r="L25" i="3"/>
  <c r="E26" i="3"/>
  <c r="F26" i="3"/>
  <c r="G26" i="3"/>
  <c r="H26" i="3"/>
  <c r="I26" i="3"/>
  <c r="J26" i="3"/>
  <c r="K26" i="3"/>
  <c r="L26" i="3"/>
  <c r="F20" i="3"/>
  <c r="G20" i="3"/>
  <c r="H20" i="3"/>
  <c r="I20" i="3"/>
  <c r="J20" i="3"/>
  <c r="K20" i="3"/>
  <c r="L20" i="3"/>
  <c r="E20" i="3"/>
  <c r="J5" i="4"/>
  <c r="K5" i="4"/>
  <c r="L5" i="4"/>
  <c r="K6" i="4"/>
  <c r="L6" i="4"/>
  <c r="K7" i="4"/>
  <c r="L7" i="4"/>
  <c r="E11" i="3"/>
  <c r="L11" i="3"/>
  <c r="H11" i="3"/>
  <c r="I11" i="3"/>
  <c r="J11" i="3"/>
  <c r="G11" i="3"/>
  <c r="K6" i="3"/>
  <c r="L6" i="3"/>
  <c r="K5" i="3"/>
  <c r="L5" i="3"/>
  <c r="J5" i="3"/>
  <c r="K7" i="3"/>
  <c r="L8" i="3"/>
  <c r="K8" i="3"/>
  <c r="F8" i="3"/>
  <c r="E8" i="3"/>
  <c r="L9" i="3"/>
  <c r="K9" i="3"/>
  <c r="F9" i="3"/>
  <c r="G9" i="3"/>
  <c r="E9" i="3"/>
  <c r="E10" i="3"/>
  <c r="F10" i="3"/>
  <c r="G10" i="3"/>
  <c r="H10" i="3"/>
  <c r="I10" i="3"/>
  <c r="J10" i="3"/>
  <c r="M35" i="1" l="1"/>
  <c r="M36" i="1" s="1"/>
  <c r="J35" i="1"/>
  <c r="J36" i="1" s="1"/>
  <c r="K35" i="1"/>
  <c r="K36" i="1" s="1"/>
  <c r="M37" i="1" l="1"/>
  <c r="L35" i="1"/>
  <c r="L37" i="1" s="1"/>
  <c r="L36" i="1" l="1"/>
  <c r="K37" i="1"/>
  <c r="J37" i="1"/>
  <c r="F35" i="1"/>
  <c r="F36" i="1" s="1"/>
  <c r="G35" i="1"/>
  <c r="G37" i="1" s="1"/>
  <c r="G36" i="1" l="1"/>
  <c r="F37" i="1"/>
</calcChain>
</file>

<file path=xl/sharedStrings.xml><?xml version="1.0" encoding="utf-8"?>
<sst xmlns="http://schemas.openxmlformats.org/spreadsheetml/2006/main" count="183" uniqueCount="104">
  <si>
    <t>Vehicle</t>
  </si>
  <si>
    <t>Parameter</t>
  </si>
  <si>
    <t>BMW M6 GT3 2017</t>
  </si>
  <si>
    <t>Mercedes AMG GT3 2017</t>
  </si>
  <si>
    <t>458 GT2</t>
  </si>
  <si>
    <t>Weight distribution</t>
  </si>
  <si>
    <t>Caster</t>
  </si>
  <si>
    <t>Kingpin</t>
  </si>
  <si>
    <t>Roll center front</t>
  </si>
  <si>
    <t>Roll center rear</t>
  </si>
  <si>
    <t>Anti squat</t>
  </si>
  <si>
    <t>Anti dive front</t>
  </si>
  <si>
    <t>Anti dive rear</t>
  </si>
  <si>
    <t>Scrub radius</t>
  </si>
  <si>
    <t>Ground stiffness front</t>
  </si>
  <si>
    <t>Ground stiffness rear</t>
  </si>
  <si>
    <t>488 GT3</t>
  </si>
  <si>
    <t>201 to 273</t>
  </si>
  <si>
    <t>97 to 146</t>
  </si>
  <si>
    <t>Elastic roll distribution</t>
  </si>
  <si>
    <t>CoG height</t>
  </si>
  <si>
    <t>3.4 ?</t>
  </si>
  <si>
    <t>Curb weight</t>
  </si>
  <si>
    <t>Elastic roll stiffness (track ~1700)</t>
  </si>
  <si>
    <t>Unit</t>
  </si>
  <si>
    <t>[% front]</t>
  </si>
  <si>
    <t xml:space="preserve">Static rake </t>
  </si>
  <si>
    <t>[mm]</t>
  </si>
  <si>
    <t>[kg]</t>
  </si>
  <si>
    <t>[deg]</t>
  </si>
  <si>
    <t>Caster offset (trail)</t>
  </si>
  <si>
    <t>[N/mm]</t>
  </si>
  <si>
    <t>ARB front (at ground)</t>
  </si>
  <si>
    <t>ARB rear (at ground)</t>
  </si>
  <si>
    <t>[Nm/deg]</t>
  </si>
  <si>
    <t>Elastic roll gradient</t>
  </si>
  <si>
    <t>Wheelbase</t>
  </si>
  <si>
    <t>[deg/g]</t>
  </si>
  <si>
    <t>0 ?</t>
  </si>
  <si>
    <t>Guess</t>
  </si>
  <si>
    <t>SCG 004C (R03)</t>
  </si>
  <si>
    <t>Porsche 911 GT3</t>
  </si>
  <si>
    <t>5 - 22.5</t>
  </si>
  <si>
    <t>17 - 35</t>
  </si>
  <si>
    <t>Aero balance</t>
  </si>
  <si>
    <t>Lamborghini Huracan</t>
  </si>
  <si>
    <t>Camber vs steer (5deg)</t>
  </si>
  <si>
    <t>-0.37 outer, +0.50 inner</t>
  </si>
  <si>
    <t>Camber gain front (@10mm)</t>
  </si>
  <si>
    <t>Camber gain rear (@10mm)</t>
  </si>
  <si>
    <t>[deg/cm]</t>
  </si>
  <si>
    <t>[deg/5deg]</t>
  </si>
  <si>
    <t>SCG 003C (2019 Ring setup)</t>
  </si>
  <si>
    <t>Front Tire</t>
  </si>
  <si>
    <t>Rear Tire</t>
  </si>
  <si>
    <t>30/68-18</t>
  </si>
  <si>
    <t>31/71-18</t>
  </si>
  <si>
    <t>[Michelin]</t>
  </si>
  <si>
    <t>-0.76 outer, +0.87 inner</t>
  </si>
  <si>
    <t>-0.48 outer, +0.55 inner</t>
  </si>
  <si>
    <t>13.9 - 45.9</t>
  </si>
  <si>
    <t>13.5 - 37.3</t>
  </si>
  <si>
    <t>arb to wheel rate unknown</t>
  </si>
  <si>
    <t>[%]</t>
  </si>
  <si>
    <t>003C 2018</t>
  </si>
  <si>
    <t>Drag</t>
  </si>
  <si>
    <t>Front Load</t>
  </si>
  <si>
    <t>Front RH [mm]</t>
  </si>
  <si>
    <t>Load at 0% [N]</t>
  </si>
  <si>
    <t>Rear RH [mm]</t>
  </si>
  <si>
    <t>* Using Lamborghini Huracan GT3 Evo aero maps (%)</t>
  </si>
  <si>
    <t>* Nominal aero load 47-53 (Guess) @ 50|60 mm ride height (Lambo)</t>
  </si>
  <si>
    <t>* Extrapolated aero maps where unavailable</t>
  </si>
  <si>
    <t>2g braking @ 150 km/h</t>
  </si>
  <si>
    <t>Version</t>
  </si>
  <si>
    <t>* Static ride heights 65|85 mm</t>
  </si>
  <si>
    <t>Front splitter ground clearance [mm]</t>
  </si>
  <si>
    <t>* Splitter overhang 1000mm</t>
  </si>
  <si>
    <t>004C Baseline</t>
  </si>
  <si>
    <t>90 / 119</t>
  </si>
  <si>
    <t>Ground Stiffnesses [N/mm]</t>
  </si>
  <si>
    <t>modAntiDive</t>
  </si>
  <si>
    <t>modAntiDive2</t>
  </si>
  <si>
    <t>CG Height [mm]</t>
  </si>
  <si>
    <t>Suspension Travels [mm]</t>
  </si>
  <si>
    <t>Aero forces and ride heights</t>
  </si>
  <si>
    <t>Full acceleration from standstill</t>
  </si>
  <si>
    <t>Anti-Squat [%]</t>
  </si>
  <si>
    <t>Anti-Dive Front [%]</t>
  </si>
  <si>
    <t>Anti-Lift Rear [%]</t>
  </si>
  <si>
    <t>hypothesis</t>
  </si>
  <si>
    <t>"Soft" Configuration</t>
  </si>
  <si>
    <t>004C R05a</t>
  </si>
  <si>
    <t>Front anti dive [%]</t>
  </si>
  <si>
    <t>Rear anti-lift [%]</t>
  </si>
  <si>
    <t>Camber at ground</t>
  </si>
  <si>
    <t>CG height [mm]</t>
  </si>
  <si>
    <t>Ride heights [mm]</t>
  </si>
  <si>
    <t>"Stiff" Configuration</t>
  </si>
  <si>
    <t>* Front splitter overhang 1000mm</t>
  </si>
  <si>
    <t>124 / 175</t>
  </si>
  <si>
    <t>40.1 (adjustable to 95%)</t>
  </si>
  <si>
    <t>SCG 004C (R06b - Soft)</t>
  </si>
  <si>
    <t>SCG 004C (R06b - Stiff)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</si>
</sst>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Fill="1" applyBorder="1"/>
    <xf numFmtId="2" fontId="0" fillId="0" borderId="1" xfId="0" applyNumberFormat="1" applyBorder="1"/>
    <xf numFmtId="165" fontId="0" fillId="0" borderId="1" xfId="0" applyNumberFormat="1" applyBorder="1"/>
    <xf numFmtId="9" fontId="0" fillId="0" borderId="1" xfId="1" applyFont="1" applyBorder="1"/>
    <xf numFmtId="0" fontId="0" fillId="0" borderId="8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9" fontId="0" fillId="0" borderId="8" xfId="1" applyFont="1" applyFill="1" applyBorder="1"/>
    <xf numFmtId="2" fontId="0" fillId="0" borderId="0" xfId="0" applyNumberFormat="1"/>
    <xf numFmtId="9" fontId="0" fillId="0" borderId="0" xfId="1" applyFont="1"/>
    <xf numFmtId="0" fontId="3" fillId="3" borderId="1" xfId="0" applyFont="1" applyFill="1" applyBorder="1"/>
    <xf numFmtId="0" fontId="3" fillId="3" borderId="0" xfId="0" applyFont="1" applyFill="1"/>
    <xf numFmtId="0" fontId="0" fillId="2" borderId="1" xfId="0" applyFill="1" applyBorder="1" applyAlignment="1">
      <alignment horizontal="right"/>
    </xf>
    <xf numFmtId="1" fontId="0" fillId="2" borderId="1" xfId="0" applyNumberFormat="1" applyFill="1" applyBorder="1"/>
    <xf numFmtId="16" fontId="0" fillId="0" borderId="1" xfId="0" applyNumberFormat="1" applyBorder="1" applyAlignment="1">
      <alignment horizontal="right"/>
    </xf>
    <xf numFmtId="0" fontId="3" fillId="0" borderId="1" xfId="0" applyFont="1" applyBorder="1"/>
    <xf numFmtId="166" fontId="0" fillId="0" borderId="1" xfId="1" applyNumberFormat="1" applyFont="1" applyBorder="1"/>
    <xf numFmtId="0" fontId="0" fillId="0" borderId="1" xfId="0" quotePrefix="1" applyBorder="1" applyAlignment="1">
      <alignment horizontal="right"/>
    </xf>
    <xf numFmtId="9" fontId="0" fillId="2" borderId="8" xfId="1" applyFont="1" applyFill="1" applyBorder="1"/>
    <xf numFmtId="1" fontId="0" fillId="0" borderId="1" xfId="0" applyNumberFormat="1" applyFill="1" applyBorder="1"/>
    <xf numFmtId="9" fontId="0" fillId="0" borderId="1" xfId="1" applyFont="1" applyFill="1" applyBorder="1"/>
    <xf numFmtId="164" fontId="0" fillId="0" borderId="1" xfId="1" applyNumberFormat="1" applyFont="1" applyFill="1" applyBorder="1"/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Font="1" applyBorder="1"/>
    <xf numFmtId="0" fontId="0" fillId="0" borderId="10" xfId="0" applyBorder="1"/>
    <xf numFmtId="0" fontId="0" fillId="0" borderId="0" xfId="0" quotePrefix="1"/>
    <xf numFmtId="0" fontId="2" fillId="0" borderId="0" xfId="0" applyFont="1"/>
    <xf numFmtId="10" fontId="0" fillId="0" borderId="0" xfId="1" applyNumberFormat="1" applyFont="1"/>
    <xf numFmtId="0" fontId="0" fillId="0" borderId="12" xfId="0" applyBorder="1"/>
    <xf numFmtId="10" fontId="0" fillId="3" borderId="1" xfId="1" applyNumberFormat="1" applyFont="1" applyFill="1" applyBorder="1"/>
    <xf numFmtId="10" fontId="0" fillId="4" borderId="1" xfId="1" applyNumberFormat="1" applyFont="1" applyFill="1" applyBorder="1"/>
    <xf numFmtId="1" fontId="0" fillId="0" borderId="1" xfId="0" applyNumberFormat="1" applyBorder="1"/>
    <xf numFmtId="10" fontId="0" fillId="0" borderId="1" xfId="1" applyNumberFormat="1" applyFont="1" applyBorder="1"/>
    <xf numFmtId="10" fontId="0" fillId="3" borderId="14" xfId="1" applyNumberFormat="1" applyFont="1" applyFill="1" applyBorder="1"/>
    <xf numFmtId="10" fontId="0" fillId="5" borderId="1" xfId="1" applyNumberFormat="1" applyFont="1" applyFill="1" applyBorder="1"/>
    <xf numFmtId="0" fontId="0" fillId="0" borderId="15" xfId="0" applyBorder="1"/>
    <xf numFmtId="10" fontId="0" fillId="3" borderId="15" xfId="1" applyNumberFormat="1" applyFont="1" applyFill="1" applyBorder="1"/>
    <xf numFmtId="10" fontId="0" fillId="3" borderId="16" xfId="1" applyNumberFormat="1" applyFont="1" applyFill="1" applyBorder="1"/>
    <xf numFmtId="10" fontId="0" fillId="3" borderId="17" xfId="1" applyNumberFormat="1" applyFont="1" applyFill="1" applyBorder="1"/>
    <xf numFmtId="10" fontId="0" fillId="3" borderId="18" xfId="1" applyNumberFormat="1" applyFont="1" applyFill="1" applyBorder="1"/>
    <xf numFmtId="0" fontId="0" fillId="0" borderId="16" xfId="0" applyBorder="1"/>
    <xf numFmtId="10" fontId="0" fillId="5" borderId="19" xfId="1" applyNumberFormat="1" applyFont="1" applyFill="1" applyBorder="1"/>
    <xf numFmtId="10" fontId="0" fillId="3" borderId="20" xfId="1" applyNumberFormat="1" applyFont="1" applyFill="1" applyBorder="1"/>
    <xf numFmtId="10" fontId="0" fillId="3" borderId="21" xfId="1" applyNumberFormat="1" applyFont="1" applyFill="1" applyBorder="1"/>
    <xf numFmtId="10" fontId="0" fillId="3" borderId="19" xfId="1" applyNumberFormat="1" applyFont="1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9" borderId="1" xfId="0" applyFill="1" applyBorder="1"/>
    <xf numFmtId="0" fontId="4" fillId="6" borderId="0" xfId="0" applyFont="1" applyFill="1"/>
    <xf numFmtId="0" fontId="4" fillId="7" borderId="0" xfId="0" applyFont="1" applyFill="1"/>
    <xf numFmtId="0" fontId="0" fillId="0" borderId="1" xfId="0" applyFill="1" applyBorder="1" applyAlignment="1">
      <alignment horizontal="right"/>
    </xf>
    <xf numFmtId="0" fontId="0" fillId="0" borderId="0" xfId="0" applyFill="1" applyBorder="1"/>
    <xf numFmtId="165" fontId="0" fillId="0" borderId="1" xfId="0" applyNumberFormat="1" applyFill="1" applyBorder="1"/>
    <xf numFmtId="2" fontId="0" fillId="0" borderId="1" xfId="0" applyNumberFormat="1" applyFill="1" applyBorder="1"/>
    <xf numFmtId="0" fontId="0" fillId="0" borderId="1" xfId="0" quotePrefix="1" applyFill="1" applyBorder="1" applyAlignment="1">
      <alignment horizontal="right"/>
    </xf>
    <xf numFmtId="9" fontId="2" fillId="0" borderId="1" xfId="0" applyNumberFormat="1" applyFont="1" applyFill="1" applyBorder="1"/>
    <xf numFmtId="165" fontId="2" fillId="0" borderId="1" xfId="0" applyNumberFormat="1" applyFont="1" applyFill="1" applyBorder="1"/>
    <xf numFmtId="0" fontId="2" fillId="0" borderId="1" xfId="0" quotePrefix="1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Constant RHR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Lambo_AeroMap_Front!$F$4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Lambo_AeroMap_Front!$F$5:$F$11</c:f>
              <c:numCache>
                <c:formatCode>0.00%</c:formatCode>
                <c:ptCount val="7"/>
                <c:pt idx="0">
                  <c:v>0.1981</c:v>
                </c:pt>
                <c:pt idx="1">
                  <c:v>-0.1583</c:v>
                </c:pt>
                <c:pt idx="2">
                  <c:v>-0.28899999999999998</c:v>
                </c:pt>
                <c:pt idx="3">
                  <c:v>-0.40569999999999995</c:v>
                </c:pt>
                <c:pt idx="4">
                  <c:v>-0.5512999999999999</c:v>
                </c:pt>
                <c:pt idx="5">
                  <c:v>-0.67759999999999998</c:v>
                </c:pt>
                <c:pt idx="6">
                  <c:v>-0.8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346-4CA8-B723-5CFB8BE9C0F2}"/>
            </c:ext>
          </c:extLst>
        </c:ser>
        <c:ser>
          <c:idx val="3"/>
          <c:order val="1"/>
          <c:tx>
            <c:strRef>
              <c:f>Lambo_AeroMap_Front!$G$4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Lambo_AeroMap_Front!$G$5:$G$11</c:f>
              <c:numCache>
                <c:formatCode>0.00%</c:formatCode>
                <c:ptCount val="7"/>
                <c:pt idx="0">
                  <c:v>0.39500000000000002</c:v>
                </c:pt>
                <c:pt idx="1">
                  <c:v>3.3700000000000001E-2</c:v>
                </c:pt>
                <c:pt idx="2">
                  <c:v>-0.156</c:v>
                </c:pt>
                <c:pt idx="3">
                  <c:v>-0.29160000000000003</c:v>
                </c:pt>
                <c:pt idx="4">
                  <c:v>-0.44029999999999991</c:v>
                </c:pt>
                <c:pt idx="5">
                  <c:v>-0.57359999999999989</c:v>
                </c:pt>
                <c:pt idx="6">
                  <c:v>-0.70540000000000003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46-4CA8-B723-5CFB8BE9C0F2}"/>
            </c:ext>
          </c:extLst>
        </c:ser>
        <c:ser>
          <c:idx val="0"/>
          <c:order val="2"/>
          <c:tx>
            <c:strRef>
              <c:f>Lambo_AeroMap_Front!$H$4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Lambo_AeroMap_Front!$H$5:$H$11</c:f>
              <c:numCache>
                <c:formatCode>0.00%</c:formatCode>
                <c:ptCount val="7"/>
                <c:pt idx="0">
                  <c:v>0.54279999999999995</c:v>
                </c:pt>
                <c:pt idx="1">
                  <c:v>0.22070000000000001</c:v>
                </c:pt>
                <c:pt idx="2">
                  <c:v>0</c:v>
                </c:pt>
                <c:pt idx="3">
                  <c:v>-0.14810000000000001</c:v>
                </c:pt>
                <c:pt idx="4">
                  <c:v>-0.3266</c:v>
                </c:pt>
                <c:pt idx="5">
                  <c:v>-0.46959999999999991</c:v>
                </c:pt>
                <c:pt idx="6">
                  <c:v>-0.60940000000000005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6-4CA8-B723-5CFB8BE9C0F2}"/>
            </c:ext>
          </c:extLst>
        </c:ser>
        <c:ser>
          <c:idx val="1"/>
          <c:order val="3"/>
          <c:tx>
            <c:strRef>
              <c:f>Lambo_AeroMap_Front!$I$4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Lambo_AeroMap_Front!$I$5:$I$11</c:f>
              <c:numCache>
                <c:formatCode>0.00%</c:formatCode>
                <c:ptCount val="7"/>
                <c:pt idx="0">
                  <c:v>0.61770000000000003</c:v>
                </c:pt>
                <c:pt idx="1">
                  <c:v>0.44550000000000001</c:v>
                </c:pt>
                <c:pt idx="2">
                  <c:v>0.16700000000000001</c:v>
                </c:pt>
                <c:pt idx="3">
                  <c:v>-2.63E-2</c:v>
                </c:pt>
                <c:pt idx="4">
                  <c:v>-0.2162</c:v>
                </c:pt>
                <c:pt idx="5">
                  <c:v>-0.36559999999999993</c:v>
                </c:pt>
                <c:pt idx="6">
                  <c:v>-0.51340000000000008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6-4CA8-B723-5CFB8BE9C0F2}"/>
            </c:ext>
          </c:extLst>
        </c:ser>
        <c:ser>
          <c:idx val="2"/>
          <c:order val="4"/>
          <c:tx>
            <c:strRef>
              <c:f>Lambo_AeroMap_Front!$J$4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Lambo_AeroMap_Front!$J$5:$J$11</c:f>
              <c:numCache>
                <c:formatCode>0.00%</c:formatCode>
                <c:ptCount val="7"/>
                <c:pt idx="0">
                  <c:v>0.8374999999999998</c:v>
                </c:pt>
                <c:pt idx="1">
                  <c:v>0.54579999999999995</c:v>
                </c:pt>
                <c:pt idx="2">
                  <c:v>0.30980000000000002</c:v>
                </c:pt>
                <c:pt idx="3">
                  <c:v>8.0799999999999997E-2</c:v>
                </c:pt>
                <c:pt idx="4">
                  <c:v>-0.1038</c:v>
                </c:pt>
                <c:pt idx="5">
                  <c:v>-0.26159999999999994</c:v>
                </c:pt>
                <c:pt idx="6">
                  <c:v>-0.4174000000000001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6-4CA8-B723-5CFB8BE9C0F2}"/>
            </c:ext>
          </c:extLst>
        </c:ser>
        <c:ser>
          <c:idx val="5"/>
          <c:order val="5"/>
          <c:tx>
            <c:strRef>
              <c:f>Lambo_AeroMap_Front!$K$4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Lambo_AeroMap_Front!$K$5:$K$12</c:f>
              <c:numCache>
                <c:formatCode>0.00%</c:formatCode>
                <c:ptCount val="8"/>
                <c:pt idx="0">
                  <c:v>1.0004999999999997</c:v>
                </c:pt>
                <c:pt idx="1">
                  <c:v>0.75309999999999999</c:v>
                </c:pt>
                <c:pt idx="2">
                  <c:v>0.45219999999999994</c:v>
                </c:pt>
                <c:pt idx="3">
                  <c:v>0.21429999999999993</c:v>
                </c:pt>
                <c:pt idx="4">
                  <c:v>3.7000000000000366E-3</c:v>
                </c:pt>
                <c:pt idx="5">
                  <c:v>-0.16209999999999999</c:v>
                </c:pt>
                <c:pt idx="6">
                  <c:v>-0.31819999999999998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4-4CF6-9392-EEF942BF0C78}"/>
            </c:ext>
          </c:extLst>
        </c:ser>
        <c:ser>
          <c:idx val="6"/>
          <c:order val="6"/>
          <c:tx>
            <c:strRef>
              <c:f>Lambo_AeroMap_Front!$L$4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Lambo_AeroMap_Front!$L$5:$L$11</c:f>
              <c:numCache>
                <c:formatCode>0.00%</c:formatCode>
                <c:ptCount val="7"/>
                <c:pt idx="0">
                  <c:v>1.1635</c:v>
                </c:pt>
                <c:pt idx="1">
                  <c:v>0.93010000000000004</c:v>
                </c:pt>
                <c:pt idx="2">
                  <c:v>0.55000000000000004</c:v>
                </c:pt>
                <c:pt idx="3">
                  <c:v>0.33830000000000005</c:v>
                </c:pt>
                <c:pt idx="4">
                  <c:v>0.11470000000000014</c:v>
                </c:pt>
                <c:pt idx="5">
                  <c:v>-5.8599999999999999E-2</c:v>
                </c:pt>
                <c:pt idx="6">
                  <c:v>-0.22540000000000004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4-4CF6-9392-EEF942BF0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211504"/>
        <c:axId val="1157236912"/>
      </c:scatterChart>
      <c:valAx>
        <c:axId val="109621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36912"/>
        <c:crosses val="autoZero"/>
        <c:crossBetween val="midCat"/>
      </c:valAx>
      <c:valAx>
        <c:axId val="11572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1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48578302712167"/>
          <c:y val="0.14843503937007876"/>
          <c:w val="0.21649364829396328"/>
          <c:h val="0.77290617298791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Constant FRH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Lambo_AeroMap_Front!$D$5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Lambo_AeroMap_Front!$E$5:$L$5</c:f>
              <c:numCache>
                <c:formatCode>0.00%</c:formatCode>
                <c:ptCount val="8"/>
                <c:pt idx="0">
                  <c:v>-2.2599999999999999E-2</c:v>
                </c:pt>
                <c:pt idx="1">
                  <c:v>0.1981</c:v>
                </c:pt>
                <c:pt idx="2">
                  <c:v>0.39500000000000002</c:v>
                </c:pt>
                <c:pt idx="3">
                  <c:v>0.54279999999999995</c:v>
                </c:pt>
                <c:pt idx="4">
                  <c:v>0.61770000000000003</c:v>
                </c:pt>
                <c:pt idx="5">
                  <c:v>0.8374999999999998</c:v>
                </c:pt>
                <c:pt idx="6">
                  <c:v>1.0004999999999997</c:v>
                </c:pt>
                <c:pt idx="7">
                  <c:v>1.1635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4C-444E-8D98-15B1D1D6EA56}"/>
            </c:ext>
          </c:extLst>
        </c:ser>
        <c:ser>
          <c:idx val="1"/>
          <c:order val="1"/>
          <c:tx>
            <c:strRef>
              <c:f>Lambo_AeroMap_Front!$D$6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Lambo_AeroMap_Front!$E$6:$L$6</c:f>
              <c:numCache>
                <c:formatCode>0.00%</c:formatCode>
                <c:ptCount val="8"/>
                <c:pt idx="0">
                  <c:v>-0.29220000000000002</c:v>
                </c:pt>
                <c:pt idx="1">
                  <c:v>-0.1583</c:v>
                </c:pt>
                <c:pt idx="2">
                  <c:v>3.3700000000000001E-2</c:v>
                </c:pt>
                <c:pt idx="3">
                  <c:v>0.22070000000000001</c:v>
                </c:pt>
                <c:pt idx="4">
                  <c:v>0.44550000000000001</c:v>
                </c:pt>
                <c:pt idx="5">
                  <c:v>0.54579999999999995</c:v>
                </c:pt>
                <c:pt idx="6">
                  <c:v>0.75309999999999999</c:v>
                </c:pt>
                <c:pt idx="7">
                  <c:v>0.93010000000000004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4C-444E-8D98-15B1D1D6EA56}"/>
            </c:ext>
          </c:extLst>
        </c:ser>
        <c:ser>
          <c:idx val="0"/>
          <c:order val="2"/>
          <c:tx>
            <c:v>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Lambo_AeroMap_Front!$E$7:$L$7</c:f>
              <c:numCache>
                <c:formatCode>0.00%</c:formatCode>
                <c:ptCount val="8"/>
                <c:pt idx="0">
                  <c:v>-0.41289999999999999</c:v>
                </c:pt>
                <c:pt idx="1">
                  <c:v>-0.28899999999999998</c:v>
                </c:pt>
                <c:pt idx="2">
                  <c:v>-0.156</c:v>
                </c:pt>
                <c:pt idx="3">
                  <c:v>0</c:v>
                </c:pt>
                <c:pt idx="4">
                  <c:v>0.16700000000000001</c:v>
                </c:pt>
                <c:pt idx="5">
                  <c:v>0.30980000000000002</c:v>
                </c:pt>
                <c:pt idx="6">
                  <c:v>0.45219999999999994</c:v>
                </c:pt>
                <c:pt idx="7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C-444E-8D98-15B1D1D6EA56}"/>
            </c:ext>
          </c:extLst>
        </c:ser>
        <c:ser>
          <c:idx val="3"/>
          <c:order val="3"/>
          <c:tx>
            <c:strRef>
              <c:f>Lambo_AeroMap_Front!$D$8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Lambo_AeroMap_Front!$E$8:$L$8</c:f>
              <c:numCache>
                <c:formatCode>0.00%</c:formatCode>
                <c:ptCount val="8"/>
                <c:pt idx="0">
                  <c:v>-0.52969999999999995</c:v>
                </c:pt>
                <c:pt idx="1">
                  <c:v>-0.40569999999999995</c:v>
                </c:pt>
                <c:pt idx="2">
                  <c:v>-0.29160000000000003</c:v>
                </c:pt>
                <c:pt idx="3">
                  <c:v>-0.14810000000000001</c:v>
                </c:pt>
                <c:pt idx="4">
                  <c:v>-2.63E-2</c:v>
                </c:pt>
                <c:pt idx="5">
                  <c:v>8.0799999999999997E-2</c:v>
                </c:pt>
                <c:pt idx="6">
                  <c:v>0.21429999999999993</c:v>
                </c:pt>
                <c:pt idx="7">
                  <c:v>0.33830000000000005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C1-43E7-8D21-09681CFE8199}"/>
            </c:ext>
          </c:extLst>
        </c:ser>
        <c:ser>
          <c:idx val="4"/>
          <c:order val="4"/>
          <c:tx>
            <c:strRef>
              <c:f>Lambo_AeroMap_Front!$D$9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Lambo_AeroMap_Front!$E$9:$L$9</c:f>
              <c:numCache>
                <c:formatCode>0.00%</c:formatCode>
                <c:ptCount val="8"/>
                <c:pt idx="0">
                  <c:v>-0.66229999999999989</c:v>
                </c:pt>
                <c:pt idx="1">
                  <c:v>-0.5512999999999999</c:v>
                </c:pt>
                <c:pt idx="2">
                  <c:v>-0.44029999999999991</c:v>
                </c:pt>
                <c:pt idx="3">
                  <c:v>-0.3266</c:v>
                </c:pt>
                <c:pt idx="4">
                  <c:v>-0.2162</c:v>
                </c:pt>
                <c:pt idx="5">
                  <c:v>-0.1038</c:v>
                </c:pt>
                <c:pt idx="6">
                  <c:v>3.7000000000000366E-3</c:v>
                </c:pt>
                <c:pt idx="7">
                  <c:v>0.11470000000000014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C1-43E7-8D21-09681CFE8199}"/>
            </c:ext>
          </c:extLst>
        </c:ser>
        <c:ser>
          <c:idx val="5"/>
          <c:order val="5"/>
          <c:tx>
            <c:strRef>
              <c:f>Lambo_AeroMap_Front!$D$10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Lambo_AeroMap_Front!$E$10:$L$10</c:f>
              <c:numCache>
                <c:formatCode>0.00%</c:formatCode>
                <c:ptCount val="8"/>
                <c:pt idx="0">
                  <c:v>-0.78159999999999985</c:v>
                </c:pt>
                <c:pt idx="1">
                  <c:v>-0.67759999999999998</c:v>
                </c:pt>
                <c:pt idx="2">
                  <c:v>-0.57359999999999989</c:v>
                </c:pt>
                <c:pt idx="3">
                  <c:v>-0.46959999999999991</c:v>
                </c:pt>
                <c:pt idx="4">
                  <c:v>-0.36559999999999993</c:v>
                </c:pt>
                <c:pt idx="5">
                  <c:v>-0.26159999999999994</c:v>
                </c:pt>
                <c:pt idx="6">
                  <c:v>-0.16209999999999999</c:v>
                </c:pt>
                <c:pt idx="7">
                  <c:v>-5.8599999999999999E-2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C1-43E7-8D21-09681CFE8199}"/>
            </c:ext>
          </c:extLst>
        </c:ser>
        <c:ser>
          <c:idx val="6"/>
          <c:order val="6"/>
          <c:tx>
            <c:strRef>
              <c:f>Lambo_AeroMap_Front!$D$11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405730533683287E-2"/>
                  <c:y val="0.15473326376371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Lambo_AeroMap_Front!$E$4:$L$4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Lambo_AeroMap_Front!$E$11:$L$11</c:f>
              <c:numCache>
                <c:formatCode>0.00%</c:formatCode>
                <c:ptCount val="8"/>
                <c:pt idx="0">
                  <c:v>-0.89739999999999998</c:v>
                </c:pt>
                <c:pt idx="1">
                  <c:v>-0.8</c:v>
                </c:pt>
                <c:pt idx="2">
                  <c:v>-0.70540000000000003</c:v>
                </c:pt>
                <c:pt idx="3">
                  <c:v>-0.60940000000000005</c:v>
                </c:pt>
                <c:pt idx="4">
                  <c:v>-0.51340000000000008</c:v>
                </c:pt>
                <c:pt idx="5">
                  <c:v>-0.4174000000000001</c:v>
                </c:pt>
                <c:pt idx="6">
                  <c:v>-0.31819999999999998</c:v>
                </c:pt>
                <c:pt idx="7">
                  <c:v>-0.22540000000000004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C1-43E7-8D21-09681CFE8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205552"/>
        <c:axId val="779951152"/>
      </c:scatterChart>
      <c:valAx>
        <c:axId val="11552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51152"/>
        <c:crosses val="autoZero"/>
        <c:crossBetween val="midCat"/>
      </c:valAx>
      <c:valAx>
        <c:axId val="7799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0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Constant RHR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Lambo_AeroMap_Rear!$F$4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Lambo_AeroMap_Rear!$F$5:$F$11</c:f>
              <c:numCache>
                <c:formatCode>0.00%</c:formatCode>
                <c:ptCount val="7"/>
                <c:pt idx="0">
                  <c:v>-6.7900000000000002E-2</c:v>
                </c:pt>
                <c:pt idx="1">
                  <c:v>-2.3199999999999998E-2</c:v>
                </c:pt>
                <c:pt idx="2">
                  <c:v>8.5599999999999996E-2</c:v>
                </c:pt>
                <c:pt idx="3">
                  <c:v>0.13200000000000001</c:v>
                </c:pt>
                <c:pt idx="4">
                  <c:v>0.18450000000000005</c:v>
                </c:pt>
                <c:pt idx="5">
                  <c:v>0.23089999999999997</c:v>
                </c:pt>
                <c:pt idx="6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B-401C-A5A9-757F87F660F6}"/>
            </c:ext>
          </c:extLst>
        </c:ser>
        <c:ser>
          <c:idx val="3"/>
          <c:order val="1"/>
          <c:tx>
            <c:strRef>
              <c:f>Lambo_AeroMap_Rear!$G$4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Lambo_AeroMap_Rear!$G$5:$G$11</c:f>
              <c:numCache>
                <c:formatCode>0.00%</c:formatCode>
                <c:ptCount val="7"/>
                <c:pt idx="0">
                  <c:v>-0.1129</c:v>
                </c:pt>
                <c:pt idx="1">
                  <c:v>-4.6800000000000001E-2</c:v>
                </c:pt>
                <c:pt idx="2">
                  <c:v>3.2199999999999999E-2</c:v>
                </c:pt>
                <c:pt idx="3">
                  <c:v>0.1193</c:v>
                </c:pt>
                <c:pt idx="4">
                  <c:v>0.16050000000000003</c:v>
                </c:pt>
                <c:pt idx="5">
                  <c:v>0.20389999999999997</c:v>
                </c:pt>
                <c:pt idx="6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4B-401C-A5A9-757F87F660F6}"/>
            </c:ext>
          </c:extLst>
        </c:ser>
        <c:ser>
          <c:idx val="0"/>
          <c:order val="2"/>
          <c:tx>
            <c:strRef>
              <c:f>Lambo_AeroMap_Rear!$H$4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Lambo_AeroMap_Rear!$H$5:$H$11</c:f>
              <c:numCache>
                <c:formatCode>0.00%</c:formatCode>
                <c:ptCount val="7"/>
                <c:pt idx="0">
                  <c:v>-0.17280000000000001</c:v>
                </c:pt>
                <c:pt idx="1">
                  <c:v>-6.6900000000000001E-2</c:v>
                </c:pt>
                <c:pt idx="2">
                  <c:v>0</c:v>
                </c:pt>
                <c:pt idx="3">
                  <c:v>7.0599999999999996E-2</c:v>
                </c:pt>
                <c:pt idx="4">
                  <c:v>0.13300000000000001</c:v>
                </c:pt>
                <c:pt idx="5">
                  <c:v>0.17689999999999997</c:v>
                </c:pt>
                <c:pt idx="6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4B-401C-A5A9-757F87F660F6}"/>
            </c:ext>
          </c:extLst>
        </c:ser>
        <c:ser>
          <c:idx val="1"/>
          <c:order val="3"/>
          <c:tx>
            <c:strRef>
              <c:f>Lambo_AeroMap_Rear!$I$4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Lambo_AeroMap_Rear!$I$5:$I$11</c:f>
              <c:numCache>
                <c:formatCode>0.00%</c:formatCode>
                <c:ptCount val="7"/>
                <c:pt idx="0">
                  <c:v>-0.21659999999999999</c:v>
                </c:pt>
                <c:pt idx="1">
                  <c:v>-9.1999999999999998E-2</c:v>
                </c:pt>
                <c:pt idx="2">
                  <c:v>-1.6899999999999998E-2</c:v>
                </c:pt>
                <c:pt idx="3">
                  <c:v>5.5300000000000002E-2</c:v>
                </c:pt>
                <c:pt idx="4">
                  <c:v>0.1118</c:v>
                </c:pt>
                <c:pt idx="5">
                  <c:v>0.14989999999999998</c:v>
                </c:pt>
                <c:pt idx="6">
                  <c:v>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4B-401C-A5A9-757F87F660F6}"/>
            </c:ext>
          </c:extLst>
        </c:ser>
        <c:ser>
          <c:idx val="2"/>
          <c:order val="4"/>
          <c:tx>
            <c:strRef>
              <c:f>Lambo_AeroMap_Rear!$J$4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Lambo_AeroMap_Rear!$J$5:$J$11</c:f>
              <c:numCache>
                <c:formatCode>0.00%</c:formatCode>
                <c:ptCount val="7"/>
                <c:pt idx="0">
                  <c:v>-0.25690000000000002</c:v>
                </c:pt>
                <c:pt idx="1">
                  <c:v>-0.126</c:v>
                </c:pt>
                <c:pt idx="2">
                  <c:v>-1.8599999999999998E-2</c:v>
                </c:pt>
                <c:pt idx="3">
                  <c:v>4.8300000000000003E-2</c:v>
                </c:pt>
                <c:pt idx="4">
                  <c:v>8.5400000000000004E-2</c:v>
                </c:pt>
                <c:pt idx="5">
                  <c:v>0.12289999999999995</c:v>
                </c:pt>
                <c:pt idx="6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4B-401C-A5A9-757F87F660F6}"/>
            </c:ext>
          </c:extLst>
        </c:ser>
        <c:ser>
          <c:idx val="5"/>
          <c:order val="5"/>
          <c:tx>
            <c:strRef>
              <c:f>Lambo_AeroMap_Rear!$K$4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Lambo_AeroMap_Rear!$K$5:$K$12</c:f>
              <c:numCache>
                <c:formatCode>0.00%</c:formatCode>
                <c:ptCount val="8"/>
                <c:pt idx="0">
                  <c:v>-0.3009</c:v>
                </c:pt>
                <c:pt idx="1">
                  <c:v>-0.1527</c:v>
                </c:pt>
                <c:pt idx="2">
                  <c:v>-7.1200000000000013E-2</c:v>
                </c:pt>
                <c:pt idx="3">
                  <c:v>1.4800000000000008E-2</c:v>
                </c:pt>
                <c:pt idx="4">
                  <c:v>6.0700000000000032E-2</c:v>
                </c:pt>
                <c:pt idx="5">
                  <c:v>9.7699999999999995E-2</c:v>
                </c:pt>
                <c:pt idx="6">
                  <c:v>0.1221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4B-401C-A5A9-757F87F660F6}"/>
            </c:ext>
          </c:extLst>
        </c:ser>
        <c:ser>
          <c:idx val="6"/>
          <c:order val="6"/>
          <c:tx>
            <c:strRef>
              <c:f>Lambo_AeroMap_Rear!$L$4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Lambo_AeroMap_Rear!$L$5:$L$11</c:f>
              <c:numCache>
                <c:formatCode>0.00%</c:formatCode>
                <c:ptCount val="7"/>
                <c:pt idx="0">
                  <c:v>-0.34489999999999998</c:v>
                </c:pt>
                <c:pt idx="1">
                  <c:v>-0.17970000000000003</c:v>
                </c:pt>
                <c:pt idx="2">
                  <c:v>-0.10019999999999998</c:v>
                </c:pt>
                <c:pt idx="3">
                  <c:v>-8.1999999999999851E-3</c:v>
                </c:pt>
                <c:pt idx="4">
                  <c:v>3.670000000000001E-2</c:v>
                </c:pt>
                <c:pt idx="5">
                  <c:v>7.0900000000000005E-2</c:v>
                </c:pt>
                <c:pt idx="6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D4B-401C-A5A9-757F87F66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211504"/>
        <c:axId val="1157236912"/>
      </c:scatterChart>
      <c:valAx>
        <c:axId val="109621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36912"/>
        <c:crosses val="autoZero"/>
        <c:crossBetween val="midCat"/>
      </c:valAx>
      <c:valAx>
        <c:axId val="11572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1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48578302712167"/>
          <c:y val="0.14843503937007876"/>
          <c:w val="0.21649364829396328"/>
          <c:h val="0.77290617298791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Constant FRH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Lambo_AeroMap_Rear!$D$5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Lambo_AeroMap_Rear!$E$5:$L$5</c:f>
              <c:numCache>
                <c:formatCode>0.00%</c:formatCode>
                <c:ptCount val="8"/>
                <c:pt idx="0">
                  <c:v>-4.99E-2</c:v>
                </c:pt>
                <c:pt idx="1">
                  <c:v>-6.7900000000000002E-2</c:v>
                </c:pt>
                <c:pt idx="2">
                  <c:v>-0.1129</c:v>
                </c:pt>
                <c:pt idx="3">
                  <c:v>-0.17280000000000001</c:v>
                </c:pt>
                <c:pt idx="4">
                  <c:v>-0.21659999999999999</c:v>
                </c:pt>
                <c:pt idx="5">
                  <c:v>-0.25690000000000002</c:v>
                </c:pt>
                <c:pt idx="6">
                  <c:v>-0.3009</c:v>
                </c:pt>
                <c:pt idx="7">
                  <c:v>-0.34489999999999998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8-4303-A3EB-199FA8CA35F2}"/>
            </c:ext>
          </c:extLst>
        </c:ser>
        <c:ser>
          <c:idx val="1"/>
          <c:order val="1"/>
          <c:tx>
            <c:strRef>
              <c:f>Lambo_AeroMap_Rear!$D$6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Lambo_AeroMap_Rear!$E$6:$L$6</c:f>
              <c:numCache>
                <c:formatCode>0.00%</c:formatCode>
                <c:ptCount val="8"/>
                <c:pt idx="0">
                  <c:v>1.5599999999999999E-2</c:v>
                </c:pt>
                <c:pt idx="1">
                  <c:v>-2.3199999999999998E-2</c:v>
                </c:pt>
                <c:pt idx="2">
                  <c:v>-4.6800000000000001E-2</c:v>
                </c:pt>
                <c:pt idx="3">
                  <c:v>-6.6900000000000001E-2</c:v>
                </c:pt>
                <c:pt idx="4">
                  <c:v>-9.1999999999999998E-2</c:v>
                </c:pt>
                <c:pt idx="5">
                  <c:v>-0.126</c:v>
                </c:pt>
                <c:pt idx="6">
                  <c:v>-0.1527</c:v>
                </c:pt>
                <c:pt idx="7">
                  <c:v>-0.17970000000000003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E8-4303-A3EB-199FA8CA35F2}"/>
            </c:ext>
          </c:extLst>
        </c:ser>
        <c:ser>
          <c:idx val="0"/>
          <c:order val="2"/>
          <c:tx>
            <c:v>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Lambo_AeroMap_Rear!$E$7:$L$7</c:f>
              <c:numCache>
                <c:formatCode>0.00%</c:formatCode>
                <c:ptCount val="8"/>
                <c:pt idx="0">
                  <c:v>0.1135</c:v>
                </c:pt>
                <c:pt idx="1">
                  <c:v>8.5599999999999996E-2</c:v>
                </c:pt>
                <c:pt idx="2">
                  <c:v>3.2199999999999999E-2</c:v>
                </c:pt>
                <c:pt idx="3">
                  <c:v>0</c:v>
                </c:pt>
                <c:pt idx="4">
                  <c:v>-1.6899999999999998E-2</c:v>
                </c:pt>
                <c:pt idx="5">
                  <c:v>-1.8599999999999998E-2</c:v>
                </c:pt>
                <c:pt idx="6">
                  <c:v>-7.1200000000000013E-2</c:v>
                </c:pt>
                <c:pt idx="7">
                  <c:v>-0.10019999999999998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E8-4303-A3EB-199FA8CA35F2}"/>
            </c:ext>
          </c:extLst>
        </c:ser>
        <c:ser>
          <c:idx val="3"/>
          <c:order val="3"/>
          <c:tx>
            <c:strRef>
              <c:f>Lambo_AeroMap_Rear!$D$8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859426946631674"/>
                  <c:y val="0.29058323816393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Lambo_AeroMap_Rear!$E$8:$L$8</c:f>
              <c:numCache>
                <c:formatCode>0.00%</c:formatCode>
                <c:ptCount val="8"/>
                <c:pt idx="0">
                  <c:v>0.155</c:v>
                </c:pt>
                <c:pt idx="1">
                  <c:v>0.13200000000000001</c:v>
                </c:pt>
                <c:pt idx="2">
                  <c:v>0.1193</c:v>
                </c:pt>
                <c:pt idx="3">
                  <c:v>7.0599999999999996E-2</c:v>
                </c:pt>
                <c:pt idx="4">
                  <c:v>5.5300000000000002E-2</c:v>
                </c:pt>
                <c:pt idx="5">
                  <c:v>4.8300000000000003E-2</c:v>
                </c:pt>
                <c:pt idx="6">
                  <c:v>1.4800000000000008E-2</c:v>
                </c:pt>
                <c:pt idx="7">
                  <c:v>-8.1999999999999851E-3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E8-4303-A3EB-199FA8CA35F2}"/>
            </c:ext>
          </c:extLst>
        </c:ser>
        <c:ser>
          <c:idx val="4"/>
          <c:order val="4"/>
          <c:tx>
            <c:strRef>
              <c:f>Lambo_AeroMap_Rear!$D$9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Lambo_AeroMap_Rear!$E$9:$L$9</c:f>
              <c:numCache>
                <c:formatCode>0.00%</c:formatCode>
                <c:ptCount val="8"/>
                <c:pt idx="0">
                  <c:v>0.20850000000000002</c:v>
                </c:pt>
                <c:pt idx="1">
                  <c:v>0.18450000000000005</c:v>
                </c:pt>
                <c:pt idx="2">
                  <c:v>0.16050000000000003</c:v>
                </c:pt>
                <c:pt idx="3">
                  <c:v>0.13300000000000001</c:v>
                </c:pt>
                <c:pt idx="4">
                  <c:v>0.1118</c:v>
                </c:pt>
                <c:pt idx="5">
                  <c:v>8.5400000000000004E-2</c:v>
                </c:pt>
                <c:pt idx="6">
                  <c:v>6.0700000000000032E-2</c:v>
                </c:pt>
                <c:pt idx="7">
                  <c:v>3.670000000000001E-2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E8-4303-A3EB-199FA8CA35F2}"/>
            </c:ext>
          </c:extLst>
        </c:ser>
        <c:ser>
          <c:idx val="5"/>
          <c:order val="5"/>
          <c:tx>
            <c:strRef>
              <c:f>Lambo_AeroMap_Rear!$D$10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Lambo_AeroMap_Rear!$E$10:$L$10</c:f>
              <c:numCache>
                <c:formatCode>0.00%</c:formatCode>
                <c:ptCount val="8"/>
                <c:pt idx="0">
                  <c:v>0.25789999999999996</c:v>
                </c:pt>
                <c:pt idx="1">
                  <c:v>0.23089999999999997</c:v>
                </c:pt>
                <c:pt idx="2">
                  <c:v>0.20389999999999997</c:v>
                </c:pt>
                <c:pt idx="3">
                  <c:v>0.17689999999999997</c:v>
                </c:pt>
                <c:pt idx="4">
                  <c:v>0.14989999999999998</c:v>
                </c:pt>
                <c:pt idx="5">
                  <c:v>0.12289999999999995</c:v>
                </c:pt>
                <c:pt idx="6">
                  <c:v>9.7699999999999995E-2</c:v>
                </c:pt>
                <c:pt idx="7">
                  <c:v>7.0900000000000005E-2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8E8-4303-A3EB-199FA8CA35F2}"/>
            </c:ext>
          </c:extLst>
        </c:ser>
        <c:ser>
          <c:idx val="6"/>
          <c:order val="6"/>
          <c:tx>
            <c:strRef>
              <c:f>Lambo_AeroMap_Rear!$D$11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405730533683287E-2"/>
                  <c:y val="0.15473326376371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Lambo_AeroMap_Rear!$E$4:$L$4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Lambo_AeroMap_Rear!$E$11:$L$11</c:f>
              <c:numCache>
                <c:formatCode>0.00%</c:formatCode>
                <c:ptCount val="8"/>
                <c:pt idx="0">
                  <c:v>0.3</c:v>
                </c:pt>
                <c:pt idx="1">
                  <c:v>0.27</c:v>
                </c:pt>
                <c:pt idx="2">
                  <c:v>0.24</c:v>
                </c:pt>
                <c:pt idx="3">
                  <c:v>0.21</c:v>
                </c:pt>
                <c:pt idx="4">
                  <c:v>0.18</c:v>
                </c:pt>
                <c:pt idx="5">
                  <c:v>0.15</c:v>
                </c:pt>
                <c:pt idx="6">
                  <c:v>0.1221</c:v>
                </c:pt>
                <c:pt idx="7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8E8-4303-A3EB-199FA8CA3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205552"/>
        <c:axId val="779951152"/>
      </c:scatterChart>
      <c:valAx>
        <c:axId val="11552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51152"/>
        <c:crosses val="autoZero"/>
        <c:crossBetween val="midCat"/>
      </c:valAx>
      <c:valAx>
        <c:axId val="7799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0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Constant RHR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Lambo_AeroMap_Drag!$E$4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Lambo_AeroMap_Drag!$E$5:$E$11</c:f>
              <c:numCache>
                <c:formatCode>0.00%</c:formatCode>
                <c:ptCount val="7"/>
                <c:pt idx="0">
                  <c:v>-0.1191</c:v>
                </c:pt>
                <c:pt idx="1">
                  <c:v>-8.2500000000000004E-2</c:v>
                </c:pt>
                <c:pt idx="2">
                  <c:v>-7.3300000000000004E-2</c:v>
                </c:pt>
                <c:pt idx="3">
                  <c:v>-4.859999999999999E-2</c:v>
                </c:pt>
                <c:pt idx="4">
                  <c:v>-3.5000000000000003E-2</c:v>
                </c:pt>
                <c:pt idx="5">
                  <c:v>-2.8000000000000001E-2</c:v>
                </c:pt>
                <c:pt idx="6">
                  <c:v>-2.5000000000000001E-2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9C9-4F49-A9EB-F02CA625B9EA}"/>
            </c:ext>
          </c:extLst>
        </c:ser>
        <c:ser>
          <c:idx val="4"/>
          <c:order val="1"/>
          <c:tx>
            <c:strRef>
              <c:f>Lambo_AeroMap_Drag!$F$4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Lambo_AeroMap_Drag!$F$5:$F$11</c:f>
              <c:numCache>
                <c:formatCode>0.00%</c:formatCode>
                <c:ptCount val="7"/>
                <c:pt idx="0">
                  <c:v>-9.5899999999999999E-2</c:v>
                </c:pt>
                <c:pt idx="1">
                  <c:v>-6.1100000000000002E-2</c:v>
                </c:pt>
                <c:pt idx="2">
                  <c:v>-4.5999999999999999E-2</c:v>
                </c:pt>
                <c:pt idx="3">
                  <c:v>-2.5599999999999998E-2</c:v>
                </c:pt>
                <c:pt idx="4">
                  <c:v>-0.01</c:v>
                </c:pt>
                <c:pt idx="5">
                  <c:v>0</c:v>
                </c:pt>
                <c:pt idx="6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9-4F49-A9EB-F02CA625B9EA}"/>
            </c:ext>
          </c:extLst>
        </c:ser>
        <c:ser>
          <c:idx val="3"/>
          <c:order val="2"/>
          <c:tx>
            <c:strRef>
              <c:f>Lambo_AeroMap_Drag!$G$4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Lambo_AeroMap_Drag!$G$5:$G$11</c:f>
              <c:numCache>
                <c:formatCode>0.00%</c:formatCode>
                <c:ptCount val="7"/>
                <c:pt idx="0">
                  <c:v>-7.4700000000000003E-2</c:v>
                </c:pt>
                <c:pt idx="1">
                  <c:v>-4.8800000000000003E-2</c:v>
                </c:pt>
                <c:pt idx="2">
                  <c:v>-2.1999999999999999E-2</c:v>
                </c:pt>
                <c:pt idx="3">
                  <c:v>-7.6E-3</c:v>
                </c:pt>
                <c:pt idx="4">
                  <c:v>0</c:v>
                </c:pt>
                <c:pt idx="5">
                  <c:v>0.01</c:v>
                </c:pt>
                <c:pt idx="6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C9-4F49-A9EB-F02CA625B9EA}"/>
            </c:ext>
          </c:extLst>
        </c:ser>
        <c:ser>
          <c:idx val="0"/>
          <c:order val="3"/>
          <c:tx>
            <c:strRef>
              <c:f>Lambo_AeroMap_Drag!$H$4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Lambo_AeroMap_Drag!$H$5:$H$11</c:f>
              <c:numCache>
                <c:formatCode>0.00%</c:formatCode>
                <c:ptCount val="7"/>
                <c:pt idx="0">
                  <c:v>-6.5799999999999997E-2</c:v>
                </c:pt>
                <c:pt idx="1">
                  <c:v>-3.8800000000000001E-2</c:v>
                </c:pt>
                <c:pt idx="2">
                  <c:v>0</c:v>
                </c:pt>
                <c:pt idx="3">
                  <c:v>1.44E-2</c:v>
                </c:pt>
                <c:pt idx="4">
                  <c:v>1.6E-2</c:v>
                </c:pt>
                <c:pt idx="5">
                  <c:v>0.02</c:v>
                </c:pt>
                <c:pt idx="6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C9-4F49-A9EB-F02CA625B9EA}"/>
            </c:ext>
          </c:extLst>
        </c:ser>
        <c:ser>
          <c:idx val="1"/>
          <c:order val="4"/>
          <c:tx>
            <c:strRef>
              <c:f>Lambo_AeroMap_Drag!$I$4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Lambo_AeroMap_Drag!$I$5:$I$11</c:f>
              <c:numCache>
                <c:formatCode>0.00%</c:formatCode>
                <c:ptCount val="7"/>
                <c:pt idx="0">
                  <c:v>-4.9399999999999999E-2</c:v>
                </c:pt>
                <c:pt idx="1">
                  <c:v>-1.66E-2</c:v>
                </c:pt>
                <c:pt idx="2">
                  <c:v>1.2800000000000001E-2</c:v>
                </c:pt>
                <c:pt idx="3">
                  <c:v>3.6600000000000001E-2</c:v>
                </c:pt>
                <c:pt idx="4">
                  <c:v>4.2700000000000002E-2</c:v>
                </c:pt>
                <c:pt idx="5">
                  <c:v>0.05</c:v>
                </c:pt>
                <c:pt idx="6">
                  <c:v>5.5E-2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C9-4F49-A9EB-F02CA625B9EA}"/>
            </c:ext>
          </c:extLst>
        </c:ser>
        <c:ser>
          <c:idx val="2"/>
          <c:order val="5"/>
          <c:tx>
            <c:strRef>
              <c:f>Lambo_AeroMap_Drag!$J$4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Lambo_AeroMap_Drag!$J$5:$J$11</c:f>
              <c:numCache>
                <c:formatCode>0.00%</c:formatCode>
                <c:ptCount val="7"/>
                <c:pt idx="0">
                  <c:v>-2.9700000000000004E-2</c:v>
                </c:pt>
                <c:pt idx="1">
                  <c:v>-5.0000000000000001E-3</c:v>
                </c:pt>
                <c:pt idx="2">
                  <c:v>2.9399999999999999E-2</c:v>
                </c:pt>
                <c:pt idx="3">
                  <c:v>5.9900000000000002E-2</c:v>
                </c:pt>
                <c:pt idx="4">
                  <c:v>6.0999999999999999E-2</c:v>
                </c:pt>
                <c:pt idx="5">
                  <c:v>6.5000000000000002E-2</c:v>
                </c:pt>
                <c:pt idx="6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C9-4F49-A9EB-F02CA625B9EA}"/>
            </c:ext>
          </c:extLst>
        </c:ser>
        <c:ser>
          <c:idx val="5"/>
          <c:order val="6"/>
          <c:tx>
            <c:strRef>
              <c:f>Lambo_AeroMap_Drag!$K$4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Lambo_AeroMap_Drag!$K$5:$K$12</c:f>
              <c:numCache>
                <c:formatCode>0.00%</c:formatCode>
                <c:ptCount val="8"/>
                <c:pt idx="0">
                  <c:v>-1.2699999999999989E-2</c:v>
                </c:pt>
                <c:pt idx="1">
                  <c:v>9.4000000000000195E-3</c:v>
                </c:pt>
                <c:pt idx="2">
                  <c:v>5.1600000000000007E-2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8.2400000000000001E-2</c:v>
                </c:pt>
                <c:pt idx="6">
                  <c:v>7.8600000000000003E-2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9C9-4F49-A9EB-F02CA625B9EA}"/>
            </c:ext>
          </c:extLst>
        </c:ser>
        <c:ser>
          <c:idx val="6"/>
          <c:order val="7"/>
          <c:tx>
            <c:strRef>
              <c:f>Lambo_AeroMap_Drag!$L$4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Lambo_AeroMap_Drag!$D$5:$D$11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Lambo_AeroMap_Drag!$L$5:$L$11</c:f>
              <c:numCache>
                <c:formatCode>0.00%</c:formatCode>
                <c:ptCount val="7"/>
                <c:pt idx="0">
                  <c:v>4.2999999999999983E-3</c:v>
                </c:pt>
                <c:pt idx="1">
                  <c:v>2.4400000000000005E-2</c:v>
                </c:pt>
                <c:pt idx="2">
                  <c:v>7.1600000000000025E-2</c:v>
                </c:pt>
                <c:pt idx="3">
                  <c:v>0.1</c:v>
                </c:pt>
                <c:pt idx="4">
                  <c:v>0.105</c:v>
                </c:pt>
                <c:pt idx="5">
                  <c:v>9.7000000000000003E-2</c:v>
                </c:pt>
                <c:pt idx="6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9C9-4F49-A9EB-F02CA625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211504"/>
        <c:axId val="1157236912"/>
      </c:scatterChart>
      <c:valAx>
        <c:axId val="109621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36912"/>
        <c:crosses val="autoZero"/>
        <c:crossBetween val="midCat"/>
      </c:valAx>
      <c:valAx>
        <c:axId val="11572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1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48578302712167"/>
          <c:y val="0.14843503937007876"/>
          <c:w val="0.22551421697287841"/>
          <c:h val="0.77290617298791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Constant FRH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Lambo_AeroMap_Drag!$D$5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Lambo_AeroMap_Drag!$E$5:$L$5</c:f>
              <c:numCache>
                <c:formatCode>0.00%</c:formatCode>
                <c:ptCount val="8"/>
                <c:pt idx="0">
                  <c:v>-0.1191</c:v>
                </c:pt>
                <c:pt idx="1">
                  <c:v>-9.5899999999999999E-2</c:v>
                </c:pt>
                <c:pt idx="2">
                  <c:v>-7.4700000000000003E-2</c:v>
                </c:pt>
                <c:pt idx="3">
                  <c:v>-6.5799999999999997E-2</c:v>
                </c:pt>
                <c:pt idx="4">
                  <c:v>-4.9399999999999999E-2</c:v>
                </c:pt>
                <c:pt idx="5">
                  <c:v>-2.9700000000000004E-2</c:v>
                </c:pt>
                <c:pt idx="6">
                  <c:v>-1.2699999999999989E-2</c:v>
                </c:pt>
                <c:pt idx="7">
                  <c:v>4.2999999999999983E-3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8B-4D8F-9DB8-BF66B19547DC}"/>
            </c:ext>
          </c:extLst>
        </c:ser>
        <c:ser>
          <c:idx val="1"/>
          <c:order val="1"/>
          <c:tx>
            <c:strRef>
              <c:f>Lambo_AeroMap_Drag!$D$6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Lambo_AeroMap_Drag!$E$6:$L$6</c:f>
              <c:numCache>
                <c:formatCode>0.00%</c:formatCode>
                <c:ptCount val="8"/>
                <c:pt idx="0">
                  <c:v>-8.2500000000000004E-2</c:v>
                </c:pt>
                <c:pt idx="1">
                  <c:v>-6.1100000000000002E-2</c:v>
                </c:pt>
                <c:pt idx="2">
                  <c:v>-4.8800000000000003E-2</c:v>
                </c:pt>
                <c:pt idx="3">
                  <c:v>-3.8800000000000001E-2</c:v>
                </c:pt>
                <c:pt idx="4">
                  <c:v>-1.66E-2</c:v>
                </c:pt>
                <c:pt idx="5">
                  <c:v>-5.0000000000000001E-3</c:v>
                </c:pt>
                <c:pt idx="6">
                  <c:v>9.4000000000000195E-3</c:v>
                </c:pt>
                <c:pt idx="7">
                  <c:v>2.4400000000000005E-2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8B-4D8F-9DB8-BF66B19547DC}"/>
            </c:ext>
          </c:extLst>
        </c:ser>
        <c:ser>
          <c:idx val="0"/>
          <c:order val="2"/>
          <c:tx>
            <c:v>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Lambo_AeroMap_Drag!$E$7:$L$7</c:f>
              <c:numCache>
                <c:formatCode>0.00%</c:formatCode>
                <c:ptCount val="8"/>
                <c:pt idx="0">
                  <c:v>-7.3300000000000004E-2</c:v>
                </c:pt>
                <c:pt idx="1">
                  <c:v>-4.5999999999999999E-2</c:v>
                </c:pt>
                <c:pt idx="2">
                  <c:v>-2.1999999999999999E-2</c:v>
                </c:pt>
                <c:pt idx="3">
                  <c:v>0</c:v>
                </c:pt>
                <c:pt idx="4">
                  <c:v>1.2800000000000001E-2</c:v>
                </c:pt>
                <c:pt idx="5">
                  <c:v>2.9399999999999999E-2</c:v>
                </c:pt>
                <c:pt idx="6">
                  <c:v>5.1600000000000007E-2</c:v>
                </c:pt>
                <c:pt idx="7">
                  <c:v>7.1600000000000025E-2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8B-4D8F-9DB8-BF66B19547DC}"/>
            </c:ext>
          </c:extLst>
        </c:ser>
        <c:ser>
          <c:idx val="3"/>
          <c:order val="3"/>
          <c:tx>
            <c:strRef>
              <c:f>Lambo_AeroMap_Drag!$D$8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Lambo_AeroMap_Drag!$E$8:$L$8</c:f>
              <c:numCache>
                <c:formatCode>0.00%</c:formatCode>
                <c:ptCount val="8"/>
                <c:pt idx="0">
                  <c:v>-4.859999999999999E-2</c:v>
                </c:pt>
                <c:pt idx="1">
                  <c:v>-2.5599999999999998E-2</c:v>
                </c:pt>
                <c:pt idx="2">
                  <c:v>-7.6E-3</c:v>
                </c:pt>
                <c:pt idx="3">
                  <c:v>1.44E-2</c:v>
                </c:pt>
                <c:pt idx="4">
                  <c:v>3.6600000000000001E-2</c:v>
                </c:pt>
                <c:pt idx="5">
                  <c:v>5.9900000000000002E-2</c:v>
                </c:pt>
                <c:pt idx="6">
                  <c:v>0.08</c:v>
                </c:pt>
                <c:pt idx="7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8B-4D8F-9DB8-BF66B19547DC}"/>
            </c:ext>
          </c:extLst>
        </c:ser>
        <c:ser>
          <c:idx val="4"/>
          <c:order val="4"/>
          <c:tx>
            <c:strRef>
              <c:f>Lambo_AeroMap_Drag!$D$9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Lambo_AeroMap_Drag!$E$9:$L$9</c:f>
              <c:numCache>
                <c:formatCode>0.00%</c:formatCode>
                <c:ptCount val="8"/>
                <c:pt idx="0">
                  <c:v>-3.5000000000000003E-2</c:v>
                </c:pt>
                <c:pt idx="1">
                  <c:v>-0.01</c:v>
                </c:pt>
                <c:pt idx="2">
                  <c:v>0</c:v>
                </c:pt>
                <c:pt idx="3">
                  <c:v>1.6E-2</c:v>
                </c:pt>
                <c:pt idx="4">
                  <c:v>4.2700000000000002E-2</c:v>
                </c:pt>
                <c:pt idx="5">
                  <c:v>6.0999999999999999E-2</c:v>
                </c:pt>
                <c:pt idx="6">
                  <c:v>8.5000000000000006E-2</c:v>
                </c:pt>
                <c:pt idx="7">
                  <c:v>0.105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8B-4D8F-9DB8-BF66B19547DC}"/>
            </c:ext>
          </c:extLst>
        </c:ser>
        <c:ser>
          <c:idx val="5"/>
          <c:order val="5"/>
          <c:tx>
            <c:strRef>
              <c:f>Lambo_AeroMap_Drag!$D$10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Lambo_AeroMap_Drag!$E$10:$L$10</c:f>
              <c:numCache>
                <c:formatCode>0.00%</c:formatCode>
                <c:ptCount val="8"/>
                <c:pt idx="0">
                  <c:v>-2.8000000000000001E-2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0.05</c:v>
                </c:pt>
                <c:pt idx="5">
                  <c:v>6.5000000000000002E-2</c:v>
                </c:pt>
                <c:pt idx="6">
                  <c:v>8.2400000000000001E-2</c:v>
                </c:pt>
                <c:pt idx="7">
                  <c:v>9.7000000000000003E-2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18B-4D8F-9DB8-BF66B19547DC}"/>
            </c:ext>
          </c:extLst>
        </c:ser>
        <c:ser>
          <c:idx val="6"/>
          <c:order val="6"/>
          <c:tx>
            <c:strRef>
              <c:f>Lambo_AeroMap_Drag!$D$11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405730533683287E-2"/>
                  <c:y val="0.15473326376371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Lambo_AeroMap_Drag!$E$4:$L$4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Lambo_AeroMap_Drag!$E$11:$L$11</c:f>
              <c:numCache>
                <c:formatCode>0.00%</c:formatCode>
                <c:ptCount val="8"/>
                <c:pt idx="0">
                  <c:v>-2.5000000000000001E-2</c:v>
                </c:pt>
                <c:pt idx="1">
                  <c:v>5.0000000000000001E-3</c:v>
                </c:pt>
                <c:pt idx="2">
                  <c:v>1.2E-2</c:v>
                </c:pt>
                <c:pt idx="3">
                  <c:v>2.1999999999999999E-2</c:v>
                </c:pt>
                <c:pt idx="4">
                  <c:v>5.5E-2</c:v>
                </c:pt>
                <c:pt idx="5">
                  <c:v>7.0000000000000007E-2</c:v>
                </c:pt>
                <c:pt idx="6">
                  <c:v>7.8600000000000003E-2</c:v>
                </c:pt>
                <c:pt idx="7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18B-4D8F-9DB8-BF66B195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205552"/>
        <c:axId val="779951152"/>
      </c:scatterChart>
      <c:valAx>
        <c:axId val="11552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51152"/>
        <c:crosses val="autoZero"/>
        <c:crossBetween val="midCat"/>
      </c:valAx>
      <c:valAx>
        <c:axId val="7799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0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5</xdr:col>
      <xdr:colOff>933450</xdr:colOff>
      <xdr:row>62</xdr:row>
      <xdr:rowOff>130361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988376-3D3E-4C0E-A15D-9E46D2B71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8572500"/>
          <a:ext cx="6305550" cy="317836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</xdr:row>
      <xdr:rowOff>0</xdr:rowOff>
    </xdr:from>
    <xdr:to>
      <xdr:col>6</xdr:col>
      <xdr:colOff>522388</xdr:colOff>
      <xdr:row>43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A65D46-638E-42C3-A883-EBCCC1A31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1" y="2857500"/>
          <a:ext cx="7066062" cy="5514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561314</xdr:colOff>
      <xdr:row>42</xdr:row>
      <xdr:rowOff>180309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4DE1E6-FDF2-4F49-B23D-26C73FA75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2857500"/>
          <a:ext cx="5285714" cy="53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15</xdr:row>
      <xdr:rowOff>0</xdr:rowOff>
    </xdr:from>
    <xdr:to>
      <xdr:col>5</xdr:col>
      <xdr:colOff>961766</xdr:colOff>
      <xdr:row>43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FF4F7-48D0-4151-8842-AE29B255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1" y="2857500"/>
          <a:ext cx="6514840" cy="5514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15</xdr:col>
      <xdr:colOff>568002</xdr:colOff>
      <xdr:row>43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50C2F5-69CA-4297-B5F7-DBB1AF510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3375" y="2857500"/>
          <a:ext cx="6521127" cy="551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16</xdr:col>
      <xdr:colOff>19050</xdr:colOff>
      <xdr:row>61</xdr:row>
      <xdr:rowOff>163400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401CC-DA41-48C5-8C73-85AC12B9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763000"/>
          <a:ext cx="14287500" cy="302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34</xdr:col>
      <xdr:colOff>591892</xdr:colOff>
      <xdr:row>40</xdr:row>
      <xdr:rowOff>51955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545142-DE82-4F45-9C9E-D1BA6D9F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1455" y="2857500"/>
          <a:ext cx="11450392" cy="4814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152400</xdr:colOff>
      <xdr:row>19</xdr:row>
      <xdr:rowOff>47625</xdr:rowOff>
    </xdr:from>
    <xdr:ext cx="83830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467D9B9-2861-493C-AA8D-02F4C3864DB4}"/>
            </a:ext>
          </a:extLst>
        </xdr:cNvPr>
        <xdr:cNvSpPr txBox="1"/>
      </xdr:nvSpPr>
      <xdr:spPr>
        <a:xfrm>
          <a:off x="9667875" y="3667125"/>
          <a:ext cx="8383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Left</a:t>
          </a:r>
          <a:r>
            <a:rPr lang="en-US" sz="1100" b="1" baseline="0"/>
            <a:t> Corner</a:t>
          </a:r>
          <a:endParaRPr lang="en-US" sz="1100" b="1"/>
        </a:p>
      </xdr:txBody>
    </xdr:sp>
    <xdr:clientData/>
  </xdr:oneCellAnchor>
  <xdr:oneCellAnchor>
    <xdr:from>
      <xdr:col>11</xdr:col>
      <xdr:colOff>133350</xdr:colOff>
      <xdr:row>25</xdr:row>
      <xdr:rowOff>114300</xdr:rowOff>
    </xdr:from>
    <xdr:ext cx="919675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E5DD53-390B-4192-B0B4-BCDC7A67FB1D}"/>
            </a:ext>
          </a:extLst>
        </xdr:cNvPr>
        <xdr:cNvSpPr txBox="1"/>
      </xdr:nvSpPr>
      <xdr:spPr>
        <a:xfrm>
          <a:off x="11601450" y="4876800"/>
          <a:ext cx="919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Right</a:t>
          </a:r>
          <a:r>
            <a:rPr lang="en-US" sz="1100" b="1" baseline="0"/>
            <a:t> Corner</a:t>
          </a:r>
          <a:endParaRPr lang="en-US" sz="1100" b="1"/>
        </a:p>
      </xdr:txBody>
    </xdr:sp>
    <xdr:clientData/>
  </xdr:oneCellAnchor>
  <xdr:oneCellAnchor>
    <xdr:from>
      <xdr:col>13</xdr:col>
      <xdr:colOff>85725</xdr:colOff>
      <xdr:row>21</xdr:row>
      <xdr:rowOff>171450</xdr:rowOff>
    </xdr:from>
    <xdr:ext cx="919867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63D3F1D-611F-4027-97C4-D79C0F307887}"/>
            </a:ext>
          </a:extLst>
        </xdr:cNvPr>
        <xdr:cNvSpPr txBox="1"/>
      </xdr:nvSpPr>
      <xdr:spPr>
        <a:xfrm>
          <a:off x="12773025" y="4171950"/>
          <a:ext cx="919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Acceleration</a:t>
          </a:r>
        </a:p>
      </xdr:txBody>
    </xdr:sp>
    <xdr:clientData/>
  </xdr:oneCellAnchor>
  <xdr:oneCellAnchor>
    <xdr:from>
      <xdr:col>31</xdr:col>
      <xdr:colOff>276225</xdr:colOff>
      <xdr:row>23</xdr:row>
      <xdr:rowOff>171450</xdr:rowOff>
    </xdr:from>
    <xdr:ext cx="919867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6E5978A-AE35-4A4D-9F42-3CAECF02FDB0}"/>
            </a:ext>
          </a:extLst>
        </xdr:cNvPr>
        <xdr:cNvSpPr txBox="1"/>
      </xdr:nvSpPr>
      <xdr:spPr>
        <a:xfrm>
          <a:off x="24488775" y="4552950"/>
          <a:ext cx="919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Acceleration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5</xdr:col>
      <xdr:colOff>490130</xdr:colOff>
      <xdr:row>43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C65C8E-06A8-41F2-958E-A9EA2C8C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00"/>
          <a:ext cx="6043205" cy="5514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15</xdr:col>
      <xdr:colOff>76353</xdr:colOff>
      <xdr:row>43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0CE255-247D-48BE-8329-90311E942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3375" y="2857500"/>
          <a:ext cx="6029478" cy="5505450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15</xdr:row>
      <xdr:rowOff>1</xdr:rowOff>
    </xdr:from>
    <xdr:to>
      <xdr:col>36</xdr:col>
      <xdr:colOff>195767</xdr:colOff>
      <xdr:row>44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4862BC-06E4-432C-88C5-B034F733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1456" y="2857501"/>
          <a:ext cx="12266538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1</xdr:rowOff>
    </xdr:from>
    <xdr:to>
      <xdr:col>9</xdr:col>
      <xdr:colOff>26008</xdr:colOff>
      <xdr:row>69</xdr:row>
      <xdr:rowOff>173183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6774F4-F074-4EED-A0D8-CD4C7AD3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455" y="8763001"/>
          <a:ext cx="10035917" cy="45546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333375</xdr:colOff>
      <xdr:row>0</xdr:row>
      <xdr:rowOff>0</xdr:rowOff>
    </xdr:from>
    <xdr:to>
      <xdr:col>21</xdr:col>
      <xdr:colOff>28575</xdr:colOff>
      <xdr:row>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77830-2420-4E38-86E9-72F0B2B4C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171450</xdr:colOff>
      <xdr:row>0</xdr:row>
      <xdr:rowOff>0</xdr:rowOff>
    </xdr:from>
    <xdr:to>
      <xdr:col>28</xdr:col>
      <xdr:colOff>476250</xdr:colOff>
      <xdr:row>13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AC865E-FBE4-45AD-A33E-CC205790C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333375</xdr:colOff>
      <xdr:row>0</xdr:row>
      <xdr:rowOff>0</xdr:rowOff>
    </xdr:from>
    <xdr:to>
      <xdr:col>21</xdr:col>
      <xdr:colOff>28575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5C6DD-3CCC-440B-9434-AE4903500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171450</xdr:colOff>
      <xdr:row>0</xdr:row>
      <xdr:rowOff>0</xdr:rowOff>
    </xdr:from>
    <xdr:to>
      <xdr:col>28</xdr:col>
      <xdr:colOff>476250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26A27-90DE-4AA2-A633-D61F1ED3B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333375</xdr:colOff>
      <xdr:row>0</xdr:row>
      <xdr:rowOff>0</xdr:rowOff>
    </xdr:from>
    <xdr:to>
      <xdr:col>21</xdr:col>
      <xdr:colOff>28575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6CB23-A820-40A3-A5D1-A690C5F5F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171450</xdr:colOff>
      <xdr:row>0</xdr:row>
      <xdr:rowOff>0</xdr:rowOff>
    </xdr:from>
    <xdr:to>
      <xdr:col>28</xdr:col>
      <xdr:colOff>476250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3C808-F69C-419A-A4FB-63D1F478B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7E09-3C9A-4621-B8E4-490B64652ED3}">
  <dimension ref="A1:P44"/>
  <sheetViews>
    <sheetView showGridLines="0" tabSelected="1" zoomScaleNormal="100" workbookViewId="0"/>
  </sheetViews>
  <sheetFormatPr defaultRowHeight="15" x14ac:dyDescent="0.25"/>
  <cols>
    <col min="1" max="2" width="3.7109375" customWidth="1"/>
    <col min="3" max="3" width="30" customWidth="1"/>
    <col min="4" max="5" width="11.28515625" customWidth="1"/>
    <col min="6" max="6" width="26.28515625" customWidth="1"/>
    <col min="7" max="7" width="21.7109375" customWidth="1"/>
    <col min="8" max="9" width="22.28515625" customWidth="1"/>
    <col min="10" max="10" width="19.28515625" customWidth="1"/>
    <col min="11" max="11" width="25.140625" customWidth="1"/>
    <col min="12" max="12" width="18.28515625" customWidth="1"/>
    <col min="13" max="13" width="21.140625" customWidth="1"/>
    <col min="14" max="14" width="10.140625" hidden="1" customWidth="1"/>
    <col min="15" max="15" width="9" hidden="1" customWidth="1"/>
    <col min="16" max="16" width="3.7109375" customWidth="1"/>
  </cols>
  <sheetData>
    <row r="1" spans="1:16" ht="15.75" thickBot="1" x14ac:dyDescent="0.3">
      <c r="A1" s="41"/>
    </row>
    <row r="2" spans="1:16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x14ac:dyDescent="0.25">
      <c r="B3" s="8"/>
      <c r="C3" s="27" t="s">
        <v>39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25">
      <c r="B4" s="8"/>
      <c r="C4" s="9"/>
      <c r="D4" s="9"/>
      <c r="E4" s="9"/>
      <c r="F4" s="9"/>
      <c r="G4" s="78" t="s">
        <v>0</v>
      </c>
      <c r="H4" s="78"/>
      <c r="I4" s="78"/>
      <c r="J4" s="78"/>
      <c r="K4" s="78"/>
      <c r="L4" s="78"/>
      <c r="M4" s="78"/>
      <c r="N4" s="78"/>
      <c r="O4" s="78"/>
      <c r="P4" s="10"/>
    </row>
    <row r="5" spans="1:16" x14ac:dyDescent="0.25">
      <c r="B5" s="8"/>
      <c r="C5" s="1" t="s">
        <v>1</v>
      </c>
      <c r="D5" s="1" t="s">
        <v>24</v>
      </c>
      <c r="E5" s="1" t="s">
        <v>64</v>
      </c>
      <c r="F5" s="1" t="s">
        <v>52</v>
      </c>
      <c r="G5" s="1" t="s">
        <v>40</v>
      </c>
      <c r="H5" s="1" t="s">
        <v>102</v>
      </c>
      <c r="I5" s="1" t="s">
        <v>103</v>
      </c>
      <c r="J5" s="1" t="s">
        <v>2</v>
      </c>
      <c r="K5" s="1" t="s">
        <v>3</v>
      </c>
      <c r="L5" s="1" t="s">
        <v>41</v>
      </c>
      <c r="M5" s="1" t="s">
        <v>45</v>
      </c>
      <c r="N5" s="1" t="s">
        <v>16</v>
      </c>
      <c r="O5" s="1" t="s">
        <v>4</v>
      </c>
      <c r="P5" s="10"/>
    </row>
    <row r="6" spans="1:16" x14ac:dyDescent="0.25">
      <c r="B6" s="8"/>
      <c r="C6" s="2" t="s">
        <v>22</v>
      </c>
      <c r="D6" s="19" t="s">
        <v>28</v>
      </c>
      <c r="E6" s="19"/>
      <c r="F6" s="2">
        <v>1280</v>
      </c>
      <c r="G6" s="2">
        <v>1300</v>
      </c>
      <c r="H6" s="14"/>
      <c r="I6" s="1"/>
      <c r="J6" s="2">
        <v>1300</v>
      </c>
      <c r="K6" s="2">
        <v>1325</v>
      </c>
      <c r="L6" s="2">
        <v>1305</v>
      </c>
      <c r="M6" s="2">
        <v>1310</v>
      </c>
      <c r="N6" s="2"/>
      <c r="O6" s="2">
        <v>1248</v>
      </c>
      <c r="P6" s="10"/>
    </row>
    <row r="7" spans="1:16" x14ac:dyDescent="0.25">
      <c r="B7" s="8"/>
      <c r="C7" s="2" t="s">
        <v>5</v>
      </c>
      <c r="D7" s="19" t="s">
        <v>25</v>
      </c>
      <c r="E7" s="19"/>
      <c r="F7" s="17">
        <v>0.44</v>
      </c>
      <c r="G7" s="3">
        <v>0.47</v>
      </c>
      <c r="H7" s="74">
        <v>0.44</v>
      </c>
      <c r="I7" s="74">
        <v>0.44</v>
      </c>
      <c r="J7" s="3">
        <v>0.51</v>
      </c>
      <c r="K7" s="17">
        <v>0.49</v>
      </c>
      <c r="L7" s="17"/>
      <c r="M7" s="17">
        <v>0.42</v>
      </c>
      <c r="N7" s="2"/>
      <c r="O7" s="2"/>
      <c r="P7" s="10"/>
    </row>
    <row r="8" spans="1:16" x14ac:dyDescent="0.25">
      <c r="B8" s="8"/>
      <c r="C8" s="2" t="s">
        <v>26</v>
      </c>
      <c r="D8" s="19" t="s">
        <v>27</v>
      </c>
      <c r="E8" s="19"/>
      <c r="F8" s="2">
        <v>25</v>
      </c>
      <c r="G8" s="4">
        <v>20</v>
      </c>
      <c r="H8" s="69"/>
      <c r="I8" s="69"/>
      <c r="J8" s="4" t="s">
        <v>21</v>
      </c>
      <c r="K8" s="2">
        <v>23</v>
      </c>
      <c r="L8" s="2">
        <v>16</v>
      </c>
      <c r="M8" s="2">
        <v>11</v>
      </c>
      <c r="N8" s="2"/>
      <c r="O8" s="2" t="s">
        <v>38</v>
      </c>
      <c r="P8" s="10"/>
    </row>
    <row r="9" spans="1:16" x14ac:dyDescent="0.25">
      <c r="B9" s="8"/>
      <c r="C9" s="2" t="s">
        <v>20</v>
      </c>
      <c r="D9" s="19" t="s">
        <v>27</v>
      </c>
      <c r="E9" s="19"/>
      <c r="F9" s="2">
        <v>380</v>
      </c>
      <c r="G9" s="2">
        <v>380</v>
      </c>
      <c r="H9" s="77">
        <v>420</v>
      </c>
      <c r="I9" s="77">
        <v>420</v>
      </c>
      <c r="J9" s="2">
        <v>360</v>
      </c>
      <c r="K9" s="2">
        <v>376</v>
      </c>
      <c r="L9" s="31">
        <v>370</v>
      </c>
      <c r="M9" s="40">
        <v>428</v>
      </c>
      <c r="N9" s="2"/>
      <c r="O9" s="26">
        <v>370</v>
      </c>
      <c r="P9" s="10"/>
    </row>
    <row r="10" spans="1:16" x14ac:dyDescent="0.25">
      <c r="B10" s="8"/>
      <c r="C10" s="14" t="s">
        <v>36</v>
      </c>
      <c r="D10" s="19" t="s">
        <v>27</v>
      </c>
      <c r="E10" s="19"/>
      <c r="F10" s="2">
        <v>2700</v>
      </c>
      <c r="G10" s="2">
        <v>2700</v>
      </c>
      <c r="H10" s="14"/>
      <c r="I10" s="14"/>
      <c r="J10" s="2">
        <v>2910</v>
      </c>
      <c r="K10" s="2">
        <v>2625</v>
      </c>
      <c r="L10" s="2">
        <v>2469</v>
      </c>
      <c r="M10" s="2">
        <v>2645</v>
      </c>
      <c r="N10" s="2"/>
      <c r="O10" s="2">
        <v>2650</v>
      </c>
      <c r="P10" s="10"/>
    </row>
    <row r="11" spans="1:16" x14ac:dyDescent="0.25">
      <c r="B11" s="8"/>
      <c r="C11" s="14" t="s">
        <v>44</v>
      </c>
      <c r="D11" s="19" t="s">
        <v>27</v>
      </c>
      <c r="E11" s="19"/>
      <c r="F11" s="2"/>
      <c r="G11" s="2"/>
      <c r="H11" s="14"/>
      <c r="I11" s="14"/>
      <c r="J11" s="2"/>
      <c r="K11" s="2"/>
      <c r="L11" s="32">
        <v>0.35899999999999999</v>
      </c>
      <c r="M11" s="32">
        <v>0.44</v>
      </c>
      <c r="N11" s="2"/>
      <c r="O11" s="2"/>
      <c r="P11" s="10"/>
    </row>
    <row r="12" spans="1:16" x14ac:dyDescent="0.25">
      <c r="B12" s="8"/>
      <c r="C12" s="14" t="s">
        <v>53</v>
      </c>
      <c r="D12" s="22" t="s">
        <v>57</v>
      </c>
      <c r="E12" s="22"/>
      <c r="F12" s="4" t="s">
        <v>55</v>
      </c>
      <c r="G12" s="4" t="s">
        <v>55</v>
      </c>
      <c r="H12" s="69"/>
      <c r="I12" s="69"/>
      <c r="J12" s="4" t="s">
        <v>56</v>
      </c>
      <c r="K12" s="4" t="s">
        <v>55</v>
      </c>
      <c r="L12" s="4" t="s">
        <v>55</v>
      </c>
      <c r="M12" s="4"/>
      <c r="N12" s="4"/>
      <c r="O12" s="4"/>
      <c r="P12" s="10"/>
    </row>
    <row r="13" spans="1:16" x14ac:dyDescent="0.25">
      <c r="B13" s="8"/>
      <c r="C13" s="2" t="s">
        <v>54</v>
      </c>
      <c r="D13" s="22" t="s">
        <v>57</v>
      </c>
      <c r="E13" s="22"/>
      <c r="F13" s="4" t="s">
        <v>56</v>
      </c>
      <c r="G13" s="4" t="s">
        <v>56</v>
      </c>
      <c r="H13" s="69"/>
      <c r="I13" s="69"/>
      <c r="J13" s="4" t="s">
        <v>56</v>
      </c>
      <c r="K13" s="4" t="s">
        <v>56</v>
      </c>
      <c r="L13" s="4" t="s">
        <v>56</v>
      </c>
      <c r="M13" s="4"/>
      <c r="N13" s="4"/>
      <c r="O13" s="4"/>
      <c r="P13" s="10"/>
    </row>
    <row r="14" spans="1:16" x14ac:dyDescent="0.25">
      <c r="B14" s="8"/>
      <c r="C14" s="9"/>
      <c r="D14" s="20"/>
      <c r="E14" s="20"/>
      <c r="F14" s="9"/>
      <c r="G14" s="9"/>
      <c r="H14" s="70"/>
      <c r="I14" s="70"/>
      <c r="J14" s="9"/>
      <c r="K14" s="9"/>
      <c r="L14" s="9"/>
      <c r="M14" s="9"/>
      <c r="N14" s="9"/>
      <c r="O14" s="9"/>
      <c r="P14" s="10"/>
    </row>
    <row r="15" spans="1:16" x14ac:dyDescent="0.25">
      <c r="B15" s="8"/>
      <c r="C15" s="66" t="s">
        <v>6</v>
      </c>
      <c r="D15" s="19" t="s">
        <v>29</v>
      </c>
      <c r="E15" s="19"/>
      <c r="F15" s="2">
        <v>6.7</v>
      </c>
      <c r="G15" s="16">
        <v>5.0199999999999996</v>
      </c>
      <c r="H15" s="75">
        <v>9.6</v>
      </c>
      <c r="I15" s="71"/>
      <c r="J15" s="2">
        <v>9.4</v>
      </c>
      <c r="K15" s="16">
        <v>12</v>
      </c>
      <c r="L15" s="16">
        <v>9.6999999999999993</v>
      </c>
      <c r="M15" s="16"/>
      <c r="N15" s="2"/>
      <c r="O15" s="2">
        <v>12.2</v>
      </c>
      <c r="P15" s="10"/>
    </row>
    <row r="16" spans="1:16" x14ac:dyDescent="0.25">
      <c r="B16" s="8"/>
      <c r="C16" s="2" t="s">
        <v>30</v>
      </c>
      <c r="D16" s="19" t="s">
        <v>27</v>
      </c>
      <c r="E16" s="19"/>
      <c r="F16" s="2">
        <v>27</v>
      </c>
      <c r="G16" s="16">
        <v>30.61</v>
      </c>
      <c r="H16" s="75">
        <v>42.8</v>
      </c>
      <c r="I16" s="71"/>
      <c r="J16" s="2">
        <v>24.6</v>
      </c>
      <c r="K16" s="2"/>
      <c r="L16" s="2">
        <v>42.1</v>
      </c>
      <c r="M16" s="2"/>
      <c r="N16" s="2"/>
      <c r="O16" s="2"/>
      <c r="P16" s="10"/>
    </row>
    <row r="17" spans="2:16" x14ac:dyDescent="0.25">
      <c r="B17" s="8"/>
      <c r="C17" s="2" t="s">
        <v>7</v>
      </c>
      <c r="D17" s="19" t="s">
        <v>29</v>
      </c>
      <c r="E17" s="19"/>
      <c r="F17" s="2">
        <v>11</v>
      </c>
      <c r="G17" s="2">
        <v>10.8</v>
      </c>
      <c r="H17" s="71">
        <v>11</v>
      </c>
      <c r="I17" s="71"/>
      <c r="J17" s="2">
        <v>15.8</v>
      </c>
      <c r="K17" s="2">
        <v>12.7</v>
      </c>
      <c r="L17" s="16">
        <v>18</v>
      </c>
      <c r="M17" s="2"/>
      <c r="N17" s="2"/>
      <c r="O17" s="2">
        <v>18.5</v>
      </c>
      <c r="P17" s="10"/>
    </row>
    <row r="18" spans="2:16" x14ac:dyDescent="0.25">
      <c r="B18" s="8"/>
      <c r="C18" s="2" t="s">
        <v>13</v>
      </c>
      <c r="D18" s="19" t="s">
        <v>27</v>
      </c>
      <c r="E18" s="19"/>
      <c r="F18" s="2">
        <v>21.6</v>
      </c>
      <c r="G18" s="16">
        <v>31</v>
      </c>
      <c r="H18" s="71">
        <v>31</v>
      </c>
      <c r="I18" s="71"/>
      <c r="J18" s="2">
        <v>36.5</v>
      </c>
      <c r="K18" s="2"/>
      <c r="L18" s="2">
        <v>18.600000000000001</v>
      </c>
      <c r="M18" s="2"/>
      <c r="N18" s="2"/>
      <c r="O18" s="2"/>
      <c r="P18" s="10"/>
    </row>
    <row r="19" spans="2:16" x14ac:dyDescent="0.25">
      <c r="B19" s="8"/>
      <c r="C19" s="9"/>
      <c r="D19" s="20"/>
      <c r="E19" s="20"/>
      <c r="F19" s="9"/>
      <c r="G19" s="9"/>
      <c r="H19" s="70"/>
      <c r="I19" s="70"/>
      <c r="J19" s="9"/>
      <c r="K19" s="9"/>
      <c r="L19" s="9"/>
      <c r="M19" s="9"/>
      <c r="N19" s="9"/>
      <c r="O19" s="9"/>
      <c r="P19" s="10"/>
    </row>
    <row r="20" spans="2:16" x14ac:dyDescent="0.25">
      <c r="B20" s="8"/>
      <c r="C20" s="14" t="s">
        <v>8</v>
      </c>
      <c r="D20" s="22" t="s">
        <v>27</v>
      </c>
      <c r="E20" s="22"/>
      <c r="F20" s="14">
        <v>75</v>
      </c>
      <c r="G20" s="14">
        <v>26.5</v>
      </c>
      <c r="H20" s="14">
        <v>25.6</v>
      </c>
      <c r="I20" s="14"/>
      <c r="J20" s="14">
        <v>12.1</v>
      </c>
      <c r="K20" s="14">
        <v>50</v>
      </c>
      <c r="L20" s="14">
        <v>14.4</v>
      </c>
      <c r="M20" s="14">
        <v>48</v>
      </c>
      <c r="N20" s="14"/>
      <c r="O20" s="14">
        <v>-18</v>
      </c>
      <c r="P20" s="10"/>
    </row>
    <row r="21" spans="2:16" x14ac:dyDescent="0.25">
      <c r="B21" s="8"/>
      <c r="C21" s="14" t="s">
        <v>9</v>
      </c>
      <c r="D21" s="22" t="s">
        <v>27</v>
      </c>
      <c r="E21" s="22"/>
      <c r="F21" s="14">
        <v>155</v>
      </c>
      <c r="G21" s="14">
        <v>97.5</v>
      </c>
      <c r="H21" s="14">
        <v>95.1</v>
      </c>
      <c r="I21" s="14"/>
      <c r="J21" s="14">
        <v>49.2</v>
      </c>
      <c r="K21" s="14">
        <v>92</v>
      </c>
      <c r="L21" s="14">
        <v>25.8</v>
      </c>
      <c r="M21" s="14">
        <v>117</v>
      </c>
      <c r="N21" s="14"/>
      <c r="O21" s="14">
        <v>8</v>
      </c>
      <c r="P21" s="10"/>
    </row>
    <row r="22" spans="2:16" x14ac:dyDescent="0.25">
      <c r="B22" s="8"/>
      <c r="C22" s="9"/>
      <c r="D22" s="20"/>
      <c r="E22" s="20"/>
      <c r="F22" s="9"/>
      <c r="G22" s="9"/>
      <c r="H22" s="70"/>
      <c r="I22" s="70"/>
      <c r="J22" s="9"/>
      <c r="K22" s="9"/>
      <c r="L22" s="9"/>
      <c r="M22" s="9"/>
      <c r="N22" s="9"/>
      <c r="O22" s="9"/>
      <c r="P22" s="10"/>
    </row>
    <row r="23" spans="2:16" x14ac:dyDescent="0.25">
      <c r="B23" s="8"/>
      <c r="C23" s="66" t="s">
        <v>11</v>
      </c>
      <c r="D23" s="19" t="s">
        <v>63</v>
      </c>
      <c r="E23" s="19"/>
      <c r="F23" s="2">
        <v>45</v>
      </c>
      <c r="G23" s="2">
        <v>40.5</v>
      </c>
      <c r="H23" s="69" t="s">
        <v>101</v>
      </c>
      <c r="I23" s="69"/>
      <c r="J23" s="21">
        <v>71.400000000000006</v>
      </c>
      <c r="K23" s="2">
        <v>31.5</v>
      </c>
      <c r="L23" s="21">
        <v>99.5</v>
      </c>
      <c r="M23" s="21">
        <v>80.5</v>
      </c>
      <c r="N23" s="2"/>
      <c r="O23" s="2"/>
      <c r="P23" s="10"/>
    </row>
    <row r="24" spans="2:16" x14ac:dyDescent="0.25">
      <c r="B24" s="8"/>
      <c r="C24" s="2" t="s">
        <v>12</v>
      </c>
      <c r="D24" s="19" t="s">
        <v>63</v>
      </c>
      <c r="E24" s="19"/>
      <c r="F24" s="2">
        <v>30</v>
      </c>
      <c r="G24" s="2">
        <v>38.9</v>
      </c>
      <c r="H24" s="14">
        <v>40.1</v>
      </c>
      <c r="I24" s="14"/>
      <c r="J24" s="2">
        <v>35.6</v>
      </c>
      <c r="K24" s="2">
        <v>40</v>
      </c>
      <c r="L24" s="2">
        <v>18.98</v>
      </c>
      <c r="M24" s="2">
        <v>48.5</v>
      </c>
      <c r="N24" s="2"/>
      <c r="O24" s="2"/>
      <c r="P24" s="10"/>
    </row>
    <row r="25" spans="2:16" x14ac:dyDescent="0.25">
      <c r="B25" s="8"/>
      <c r="C25" s="66" t="s">
        <v>10</v>
      </c>
      <c r="D25" s="19" t="s">
        <v>63</v>
      </c>
      <c r="E25" s="19"/>
      <c r="F25" s="2">
        <v>72</v>
      </c>
      <c r="G25" s="2">
        <v>60.9</v>
      </c>
      <c r="H25" s="14">
        <v>62.2</v>
      </c>
      <c r="I25" s="14"/>
      <c r="J25" s="21">
        <v>4.2</v>
      </c>
      <c r="K25" s="21">
        <v>-4</v>
      </c>
      <c r="L25" s="14">
        <v>37.1</v>
      </c>
      <c r="M25" s="21">
        <v>4.97</v>
      </c>
      <c r="N25" s="2"/>
      <c r="O25" s="2"/>
      <c r="P25" s="10"/>
    </row>
    <row r="26" spans="2:16" x14ac:dyDescent="0.25">
      <c r="B26" s="8"/>
      <c r="C26" s="9"/>
      <c r="D26" s="20"/>
      <c r="E26" s="20"/>
      <c r="F26" s="9"/>
      <c r="G26" s="9"/>
      <c r="H26" s="70"/>
      <c r="I26" s="70"/>
      <c r="J26" s="9"/>
      <c r="K26" s="9"/>
      <c r="L26" s="9"/>
      <c r="M26" s="9"/>
      <c r="N26" s="9"/>
      <c r="O26" s="9"/>
      <c r="P26" s="10"/>
    </row>
    <row r="27" spans="2:16" x14ac:dyDescent="0.25">
      <c r="B27" s="8"/>
      <c r="C27" s="2" t="s">
        <v>48</v>
      </c>
      <c r="D27" s="19" t="s">
        <v>50</v>
      </c>
      <c r="E27" s="19"/>
      <c r="F27" s="2">
        <v>0.39</v>
      </c>
      <c r="G27" s="2">
        <v>0.27</v>
      </c>
      <c r="H27" s="14">
        <v>0.28999999999999998</v>
      </c>
      <c r="I27" s="14"/>
      <c r="J27" s="15">
        <v>0.3</v>
      </c>
      <c r="K27" s="2">
        <v>0.35</v>
      </c>
      <c r="L27" s="2">
        <v>0.46</v>
      </c>
      <c r="M27" s="38">
        <v>0.1</v>
      </c>
      <c r="N27" s="2"/>
      <c r="O27" s="2"/>
      <c r="P27" s="10"/>
    </row>
    <row r="28" spans="2:16" x14ac:dyDescent="0.25">
      <c r="B28" s="8"/>
      <c r="C28" s="14" t="s">
        <v>49</v>
      </c>
      <c r="D28" s="19" t="s">
        <v>50</v>
      </c>
      <c r="E28" s="19"/>
      <c r="F28" s="2">
        <v>0.27</v>
      </c>
      <c r="G28" s="15">
        <v>0.3</v>
      </c>
      <c r="H28" s="72">
        <v>0.31</v>
      </c>
      <c r="I28" s="72"/>
      <c r="J28" s="15">
        <v>0.3</v>
      </c>
      <c r="K28" s="15">
        <v>0.3</v>
      </c>
      <c r="L28" s="2">
        <v>0.49</v>
      </c>
      <c r="M28" s="38">
        <v>0.4</v>
      </c>
      <c r="N28" s="2"/>
      <c r="O28" s="2"/>
      <c r="P28" s="10"/>
    </row>
    <row r="29" spans="2:16" x14ac:dyDescent="0.25">
      <c r="B29" s="8"/>
      <c r="C29" s="14" t="s">
        <v>46</v>
      </c>
      <c r="D29" s="19" t="s">
        <v>51</v>
      </c>
      <c r="E29" s="19"/>
      <c r="F29" s="33" t="s">
        <v>59</v>
      </c>
      <c r="G29" s="33" t="s">
        <v>47</v>
      </c>
      <c r="H29" s="76" t="s">
        <v>58</v>
      </c>
      <c r="I29" s="73"/>
      <c r="J29" s="15"/>
      <c r="K29" s="33" t="s">
        <v>58</v>
      </c>
      <c r="L29" s="2"/>
      <c r="M29" s="2"/>
      <c r="N29" s="2"/>
      <c r="O29" s="2"/>
      <c r="P29" s="10"/>
    </row>
    <row r="30" spans="2:16" x14ac:dyDescent="0.25">
      <c r="B30" s="8"/>
      <c r="C30" s="9"/>
      <c r="D30" s="20"/>
      <c r="E30" s="20"/>
      <c r="F30" s="9"/>
      <c r="G30" s="9"/>
      <c r="H30" s="70"/>
      <c r="I30" s="70"/>
      <c r="J30" s="9"/>
      <c r="K30" s="9"/>
      <c r="L30" s="9"/>
      <c r="M30" s="9"/>
      <c r="N30" s="9"/>
      <c r="O30" s="9"/>
      <c r="P30" s="10"/>
    </row>
    <row r="31" spans="2:16" x14ac:dyDescent="0.25">
      <c r="B31" s="8"/>
      <c r="C31" s="66" t="s">
        <v>14</v>
      </c>
      <c r="D31" s="19" t="s">
        <v>31</v>
      </c>
      <c r="E31" s="19">
        <v>81</v>
      </c>
      <c r="F31" s="2">
        <v>81</v>
      </c>
      <c r="G31" s="2">
        <v>90</v>
      </c>
      <c r="H31" s="14">
        <v>88</v>
      </c>
      <c r="I31" s="14">
        <v>111</v>
      </c>
      <c r="J31" s="28" t="s">
        <v>17</v>
      </c>
      <c r="K31" s="21">
        <v>155</v>
      </c>
      <c r="L31" s="14">
        <v>128</v>
      </c>
      <c r="M31" s="14">
        <v>166</v>
      </c>
      <c r="N31" s="21">
        <v>176</v>
      </c>
      <c r="O31" s="21">
        <v>136</v>
      </c>
      <c r="P31" s="10"/>
    </row>
    <row r="32" spans="2:16" x14ac:dyDescent="0.25">
      <c r="B32" s="8"/>
      <c r="C32" s="2" t="s">
        <v>15</v>
      </c>
      <c r="D32" s="19" t="s">
        <v>31</v>
      </c>
      <c r="E32" s="19">
        <v>81</v>
      </c>
      <c r="F32" s="2">
        <v>100</v>
      </c>
      <c r="G32" s="2">
        <v>119</v>
      </c>
      <c r="H32" s="14">
        <v>120</v>
      </c>
      <c r="I32" s="14">
        <v>160</v>
      </c>
      <c r="J32" s="4" t="s">
        <v>18</v>
      </c>
      <c r="K32" s="2">
        <v>95</v>
      </c>
      <c r="L32" s="2">
        <v>157</v>
      </c>
      <c r="M32" s="2">
        <v>132</v>
      </c>
      <c r="N32" s="2">
        <v>127</v>
      </c>
      <c r="O32" s="2">
        <v>123</v>
      </c>
      <c r="P32" s="10"/>
    </row>
    <row r="33" spans="2:16" x14ac:dyDescent="0.25">
      <c r="B33" s="8"/>
      <c r="C33" s="2" t="s">
        <v>32</v>
      </c>
      <c r="D33" s="19" t="s">
        <v>31</v>
      </c>
      <c r="E33" s="19"/>
      <c r="F33" s="2">
        <v>27.7</v>
      </c>
      <c r="G33" s="2">
        <v>25.9</v>
      </c>
      <c r="H33" s="14">
        <v>23.8</v>
      </c>
      <c r="I33" s="14">
        <v>35.700000000000003</v>
      </c>
      <c r="J33" s="4" t="s">
        <v>60</v>
      </c>
      <c r="K33" s="4">
        <v>96.8</v>
      </c>
      <c r="L33" s="30" t="s">
        <v>42</v>
      </c>
      <c r="M33" s="39">
        <v>7</v>
      </c>
      <c r="N33" s="2"/>
      <c r="O33" s="2"/>
      <c r="P33" s="10"/>
    </row>
    <row r="34" spans="2:16" x14ac:dyDescent="0.25">
      <c r="B34" s="8"/>
      <c r="C34" s="2" t="s">
        <v>33</v>
      </c>
      <c r="D34" s="19" t="s">
        <v>31</v>
      </c>
      <c r="E34" s="19"/>
      <c r="F34" s="2">
        <v>0</v>
      </c>
      <c r="G34" s="2">
        <v>2</v>
      </c>
      <c r="H34" s="14">
        <v>2</v>
      </c>
      <c r="I34" s="14">
        <v>2</v>
      </c>
      <c r="J34" s="4" t="s">
        <v>61</v>
      </c>
      <c r="K34" s="4">
        <v>16</v>
      </c>
      <c r="L34" s="4" t="s">
        <v>43</v>
      </c>
      <c r="M34" s="4">
        <v>19</v>
      </c>
      <c r="N34" s="2"/>
      <c r="O34" s="2"/>
      <c r="P34" s="10"/>
    </row>
    <row r="35" spans="2:16" x14ac:dyDescent="0.25">
      <c r="B35" s="8"/>
      <c r="C35" s="14" t="s">
        <v>23</v>
      </c>
      <c r="D35" s="22" t="s">
        <v>34</v>
      </c>
      <c r="E35" s="22"/>
      <c r="F35" s="35">
        <f>(F31+F32+F33*2+F34*2)/2*29.7*1.7</f>
        <v>5967.9179999999997</v>
      </c>
      <c r="G35" s="35">
        <f>(G31+G32+G33*2+G34*2)/2*29.7*1.7</f>
        <v>6684.8760000000002</v>
      </c>
      <c r="H35" s="35">
        <f t="shared" ref="H35:I35" si="0">(H31+H32+H33*2+H34*2)/2*29.7*1.7</f>
        <v>6553.6020000000008</v>
      </c>
      <c r="I35" s="35">
        <f t="shared" si="0"/>
        <v>8744.8680000000004</v>
      </c>
      <c r="J35" s="29">
        <f>(237+121.5+29.9*2+25.4*2)/2*29.7*1.7</f>
        <v>11842.4295</v>
      </c>
      <c r="K35" s="35">
        <f>(K31+K32+K33*2+K34*2)/2*29.7*1.7</f>
        <v>12006.521999999999</v>
      </c>
      <c r="L35" s="35">
        <f>(L31+L32+14*2+26*2)/2*29.7*1.7</f>
        <v>9214.4249999999993</v>
      </c>
      <c r="M35" s="35">
        <f>(M31+M32+M33*2+M34*2)/2*29.7*1.7</f>
        <v>8835.75</v>
      </c>
      <c r="N35" s="35"/>
      <c r="O35" s="35"/>
      <c r="P35" s="10"/>
    </row>
    <row r="36" spans="2:16" x14ac:dyDescent="0.25">
      <c r="B36" s="8"/>
      <c r="C36" s="14" t="s">
        <v>19</v>
      </c>
      <c r="D36" s="22" t="s">
        <v>25</v>
      </c>
      <c r="E36" s="22"/>
      <c r="F36" s="36">
        <f>(F31+F33*2)/2*29.7*1.7/F35</f>
        <v>0.5769881556683587</v>
      </c>
      <c r="G36" s="36">
        <f>(G31+G33*2)/2*29.7*1.7/G35</f>
        <v>0.53549848942598188</v>
      </c>
      <c r="H36" s="36">
        <f t="shared" ref="H36:I36" si="1">(H31+H33*2)/2*29.7*1.7/H35</f>
        <v>0.52234206471494593</v>
      </c>
      <c r="I36" s="36">
        <f t="shared" si="1"/>
        <v>0.52655889145496537</v>
      </c>
      <c r="J36" s="36">
        <f>(237+29.9*2)/2*29.7*1.7/J35</f>
        <v>0.63270091664890216</v>
      </c>
      <c r="K36" s="36">
        <f>(K31+K33*2)/2*29.7*1.7/K35</f>
        <v>0.73296888141295202</v>
      </c>
      <c r="L36" s="36">
        <f>(L31+14*2)/2*29.7*1.7/L35</f>
        <v>0.42739726027397262</v>
      </c>
      <c r="M36" s="36">
        <f>(M31+M33*2)/2*29.7*1.7/M35</f>
        <v>0.51428571428571423</v>
      </c>
      <c r="N36" s="14"/>
      <c r="O36" s="14"/>
      <c r="P36" s="10"/>
    </row>
    <row r="37" spans="2:16" x14ac:dyDescent="0.25">
      <c r="B37" s="8"/>
      <c r="C37" s="14" t="s">
        <v>35</v>
      </c>
      <c r="D37" s="22" t="s">
        <v>37</v>
      </c>
      <c r="E37" s="22"/>
      <c r="F37" s="37">
        <f t="shared" ref="F37:M37" si="2">9.81*F9/F35</f>
        <v>0.62463994981164295</v>
      </c>
      <c r="G37" s="37">
        <f t="shared" si="2"/>
        <v>0.55764684341190474</v>
      </c>
      <c r="H37" s="37">
        <f t="shared" ref="H37:I37" si="3">9.81*H9/H35</f>
        <v>0.62869243509141981</v>
      </c>
      <c r="I37" s="37">
        <f t="shared" si="3"/>
        <v>0.47115633992417033</v>
      </c>
      <c r="J37" s="37">
        <f t="shared" si="2"/>
        <v>0.29821583485044184</v>
      </c>
      <c r="K37" s="37">
        <f t="shared" si="2"/>
        <v>0.30721302971834813</v>
      </c>
      <c r="L37" s="37">
        <f t="shared" si="2"/>
        <v>0.3939149757038557</v>
      </c>
      <c r="M37" s="37">
        <f t="shared" si="2"/>
        <v>0.47519225872167054</v>
      </c>
      <c r="N37" s="14"/>
      <c r="O37" s="14"/>
      <c r="P37" s="10"/>
    </row>
    <row r="38" spans="2:16" ht="15.75" thickBot="1" x14ac:dyDescent="0.3">
      <c r="B38" s="11"/>
      <c r="C38" s="12"/>
      <c r="D38" s="12"/>
      <c r="E38" s="12"/>
      <c r="F38" s="18"/>
      <c r="G38" s="18"/>
      <c r="H38" s="18"/>
      <c r="I38" s="18"/>
      <c r="J38" s="18"/>
      <c r="K38" s="34" t="s">
        <v>62</v>
      </c>
      <c r="L38" s="23"/>
      <c r="M38" s="23"/>
      <c r="N38" s="12"/>
      <c r="O38" s="12"/>
      <c r="P38" s="13"/>
    </row>
    <row r="39" spans="2:16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x14ac:dyDescent="0.25">
      <c r="K40" s="24"/>
      <c r="L40" s="24"/>
      <c r="M40" s="24"/>
    </row>
    <row r="41" spans="2:16" x14ac:dyDescent="0.25">
      <c r="K41" s="25"/>
      <c r="L41" s="25"/>
      <c r="M41" s="25"/>
    </row>
    <row r="44" spans="2:16" x14ac:dyDescent="0.25">
      <c r="K44" s="25"/>
      <c r="L44" s="25"/>
      <c r="M44" s="25"/>
    </row>
  </sheetData>
  <mergeCells count="1">
    <mergeCell ref="G4:O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78DC-0E22-435C-A660-352D3DD84761}">
  <dimension ref="B2:H46"/>
  <sheetViews>
    <sheetView topLeftCell="A8" workbookViewId="0"/>
  </sheetViews>
  <sheetFormatPr defaultRowHeight="15" x14ac:dyDescent="0.25"/>
  <cols>
    <col min="1" max="1" width="3.7109375" customWidth="1"/>
    <col min="2" max="2" width="18.140625" customWidth="1"/>
    <col min="3" max="3" width="25.85546875" customWidth="1"/>
    <col min="4" max="5" width="18.28515625" bestFit="1" customWidth="1"/>
    <col min="6" max="6" width="17.5703125" customWidth="1"/>
    <col min="7" max="7" width="18.7109375" customWidth="1"/>
    <col min="8" max="8" width="34.28515625" bestFit="1" customWidth="1"/>
  </cols>
  <sheetData>
    <row r="2" spans="2:8" x14ac:dyDescent="0.25">
      <c r="B2" s="42" t="s">
        <v>70</v>
      </c>
      <c r="C2" s="42"/>
      <c r="D2" s="42"/>
      <c r="E2" s="42"/>
    </row>
    <row r="3" spans="2:8" x14ac:dyDescent="0.25">
      <c r="B3" s="42" t="s">
        <v>71</v>
      </c>
      <c r="C3" s="42"/>
      <c r="D3" s="42"/>
      <c r="E3" s="42"/>
    </row>
    <row r="4" spans="2:8" x14ac:dyDescent="0.25">
      <c r="B4" t="s">
        <v>72</v>
      </c>
    </row>
    <row r="5" spans="2:8" x14ac:dyDescent="0.25">
      <c r="B5" s="42" t="s">
        <v>75</v>
      </c>
      <c r="C5" s="42"/>
      <c r="D5" s="42"/>
      <c r="E5" s="42"/>
    </row>
    <row r="6" spans="2:8" x14ac:dyDescent="0.25">
      <c r="B6" s="42" t="s">
        <v>77</v>
      </c>
      <c r="C6" s="42"/>
      <c r="D6" s="42"/>
      <c r="E6" s="42"/>
    </row>
    <row r="8" spans="2:8" x14ac:dyDescent="0.25">
      <c r="B8" t="s">
        <v>73</v>
      </c>
    </row>
    <row r="10" spans="2:8" x14ac:dyDescent="0.25">
      <c r="B10" t="s">
        <v>74</v>
      </c>
      <c r="C10" t="s">
        <v>80</v>
      </c>
      <c r="D10" t="s">
        <v>88</v>
      </c>
      <c r="E10" t="s">
        <v>89</v>
      </c>
      <c r="F10" t="s">
        <v>67</v>
      </c>
      <c r="G10" t="s">
        <v>69</v>
      </c>
      <c r="H10" t="s">
        <v>76</v>
      </c>
    </row>
    <row r="11" spans="2:8" x14ac:dyDescent="0.25">
      <c r="B11" s="62" t="s">
        <v>78</v>
      </c>
      <c r="C11" t="s">
        <v>79</v>
      </c>
      <c r="D11">
        <v>40</v>
      </c>
      <c r="E11">
        <v>39</v>
      </c>
      <c r="F11">
        <v>16.100000000000001</v>
      </c>
      <c r="G11">
        <v>93.3</v>
      </c>
      <c r="H11" s="65">
        <v>-5.4</v>
      </c>
    </row>
    <row r="12" spans="2:8" x14ac:dyDescent="0.25">
      <c r="B12" s="63" t="s">
        <v>81</v>
      </c>
      <c r="C12" t="s">
        <v>79</v>
      </c>
      <c r="D12">
        <v>66</v>
      </c>
      <c r="E12">
        <v>39</v>
      </c>
      <c r="F12">
        <v>20.6</v>
      </c>
      <c r="G12">
        <v>93.5</v>
      </c>
      <c r="H12">
        <v>0.8</v>
      </c>
    </row>
    <row r="13" spans="2:8" x14ac:dyDescent="0.25">
      <c r="B13" s="64" t="s">
        <v>82</v>
      </c>
      <c r="C13" t="s">
        <v>79</v>
      </c>
      <c r="D13">
        <v>95</v>
      </c>
      <c r="E13">
        <v>39</v>
      </c>
      <c r="F13">
        <v>26.1</v>
      </c>
      <c r="G13">
        <v>93.8</v>
      </c>
      <c r="H13">
        <v>8.5</v>
      </c>
    </row>
    <row r="15" spans="2:8" x14ac:dyDescent="0.25">
      <c r="B15" s="43" t="s">
        <v>85</v>
      </c>
      <c r="H15" s="43" t="s">
        <v>84</v>
      </c>
    </row>
    <row r="46" spans="2:2" x14ac:dyDescent="0.25">
      <c r="B46" s="43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A655-AEDE-4EED-AF61-D3DB7CF100C9}">
  <dimension ref="B2:R46"/>
  <sheetViews>
    <sheetView zoomScaleNormal="100" workbookViewId="0"/>
  </sheetViews>
  <sheetFormatPr defaultRowHeight="15" x14ac:dyDescent="0.25"/>
  <cols>
    <col min="1" max="1" width="3.7109375" customWidth="1"/>
    <col min="2" max="2" width="20.5703125" customWidth="1"/>
    <col min="3" max="3" width="25.85546875" customWidth="1"/>
    <col min="4" max="5" width="18.42578125" customWidth="1"/>
    <col min="6" max="6" width="14.7109375" customWidth="1"/>
    <col min="7" max="7" width="17.5703125" customWidth="1"/>
    <col min="8" max="8" width="23.42578125" customWidth="1"/>
    <col min="9" max="9" width="11" customWidth="1"/>
    <col min="18" max="18" width="17.42578125" customWidth="1"/>
  </cols>
  <sheetData>
    <row r="2" spans="2:18" x14ac:dyDescent="0.25">
      <c r="B2" s="42" t="s">
        <v>70</v>
      </c>
      <c r="C2" s="42"/>
      <c r="D2" s="42"/>
      <c r="E2" s="42"/>
      <c r="F2" s="42"/>
    </row>
    <row r="3" spans="2:18" x14ac:dyDescent="0.25">
      <c r="B3" s="42" t="s">
        <v>71</v>
      </c>
      <c r="C3" s="42"/>
      <c r="D3" s="42"/>
      <c r="E3" s="42"/>
      <c r="F3" s="42"/>
    </row>
    <row r="4" spans="2:18" x14ac:dyDescent="0.25">
      <c r="B4" t="s">
        <v>72</v>
      </c>
    </row>
    <row r="5" spans="2:18" x14ac:dyDescent="0.25">
      <c r="B5" s="42" t="s">
        <v>75</v>
      </c>
      <c r="C5" s="42"/>
      <c r="D5" s="42"/>
      <c r="E5" s="42"/>
      <c r="F5" s="42"/>
    </row>
    <row r="6" spans="2:18" x14ac:dyDescent="0.25">
      <c r="B6" s="42" t="s">
        <v>99</v>
      </c>
      <c r="C6" s="42"/>
      <c r="D6" s="42"/>
      <c r="E6" s="42"/>
      <c r="F6" s="42"/>
    </row>
    <row r="8" spans="2:18" x14ac:dyDescent="0.25">
      <c r="B8" t="s">
        <v>86</v>
      </c>
    </row>
    <row r="10" spans="2:18" x14ac:dyDescent="0.25">
      <c r="B10" s="43" t="s">
        <v>91</v>
      </c>
    </row>
    <row r="11" spans="2:18" x14ac:dyDescent="0.25">
      <c r="B11" t="s">
        <v>74</v>
      </c>
      <c r="C11" t="s">
        <v>80</v>
      </c>
      <c r="D11" t="s">
        <v>93</v>
      </c>
      <c r="E11" t="s">
        <v>94</v>
      </c>
      <c r="F11" t="s">
        <v>87</v>
      </c>
      <c r="G11" t="s">
        <v>67</v>
      </c>
      <c r="H11" t="s">
        <v>69</v>
      </c>
    </row>
    <row r="12" spans="2:18" x14ac:dyDescent="0.25">
      <c r="B12" s="67" t="s">
        <v>78</v>
      </c>
      <c r="C12" t="s">
        <v>79</v>
      </c>
      <c r="D12">
        <v>40</v>
      </c>
      <c r="E12">
        <v>40</v>
      </c>
      <c r="F12">
        <v>60</v>
      </c>
      <c r="G12">
        <v>65</v>
      </c>
      <c r="H12">
        <v>85</v>
      </c>
    </row>
    <row r="13" spans="2:18" x14ac:dyDescent="0.25">
      <c r="B13" s="68" t="s">
        <v>92</v>
      </c>
      <c r="C13" t="s">
        <v>79</v>
      </c>
      <c r="D13">
        <v>66</v>
      </c>
      <c r="E13">
        <v>30</v>
      </c>
      <c r="F13">
        <v>40</v>
      </c>
      <c r="G13">
        <v>65</v>
      </c>
      <c r="H13">
        <v>85</v>
      </c>
    </row>
    <row r="15" spans="2:18" x14ac:dyDescent="0.25">
      <c r="B15" s="43" t="s">
        <v>95</v>
      </c>
      <c r="H15" s="43" t="s">
        <v>84</v>
      </c>
      <c r="R15" s="43" t="s">
        <v>97</v>
      </c>
    </row>
    <row r="46" spans="2:2" x14ac:dyDescent="0.25">
      <c r="B46" s="43" t="s">
        <v>96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06E1-7ACB-43B0-8FBA-7B9ABDCBC826}">
  <dimension ref="B2:R46"/>
  <sheetViews>
    <sheetView zoomScale="115" zoomScaleNormal="115" workbookViewId="0"/>
  </sheetViews>
  <sheetFormatPr defaultRowHeight="15" x14ac:dyDescent="0.25"/>
  <cols>
    <col min="1" max="1" width="3.7109375" customWidth="1"/>
    <col min="2" max="2" width="20.5703125" customWidth="1"/>
    <col min="3" max="3" width="25.85546875" customWidth="1"/>
    <col min="4" max="5" width="18.42578125" customWidth="1"/>
    <col min="6" max="6" width="14.7109375" customWidth="1"/>
    <col min="7" max="7" width="17.5703125" customWidth="1"/>
    <col min="8" max="8" width="23.42578125" customWidth="1"/>
    <col min="9" max="9" width="11" customWidth="1"/>
    <col min="18" max="18" width="17.42578125" customWidth="1"/>
  </cols>
  <sheetData>
    <row r="2" spans="2:18" x14ac:dyDescent="0.25">
      <c r="B2" s="42" t="s">
        <v>70</v>
      </c>
      <c r="C2" s="42"/>
      <c r="D2" s="42"/>
      <c r="E2" s="42"/>
      <c r="F2" s="42"/>
    </row>
    <row r="3" spans="2:18" x14ac:dyDescent="0.25">
      <c r="B3" s="42" t="s">
        <v>71</v>
      </c>
      <c r="C3" s="42"/>
      <c r="D3" s="42"/>
      <c r="E3" s="42"/>
      <c r="F3" s="42"/>
    </row>
    <row r="4" spans="2:18" x14ac:dyDescent="0.25">
      <c r="B4" t="s">
        <v>72</v>
      </c>
    </row>
    <row r="5" spans="2:18" x14ac:dyDescent="0.25">
      <c r="B5" s="42" t="s">
        <v>75</v>
      </c>
      <c r="C5" s="42"/>
      <c r="D5" s="42"/>
      <c r="E5" s="42"/>
      <c r="F5" s="42"/>
    </row>
    <row r="6" spans="2:18" x14ac:dyDescent="0.25">
      <c r="B6" s="42" t="s">
        <v>99</v>
      </c>
      <c r="C6" s="42"/>
      <c r="D6" s="42"/>
      <c r="E6" s="42"/>
      <c r="F6" s="42"/>
    </row>
    <row r="8" spans="2:18" x14ac:dyDescent="0.25">
      <c r="B8" t="s">
        <v>86</v>
      </c>
    </row>
    <row r="10" spans="2:18" x14ac:dyDescent="0.25">
      <c r="B10" s="43" t="s">
        <v>98</v>
      </c>
    </row>
    <row r="11" spans="2:18" x14ac:dyDescent="0.25">
      <c r="B11" t="s">
        <v>74</v>
      </c>
      <c r="C11" t="s">
        <v>80</v>
      </c>
      <c r="D11" t="s">
        <v>93</v>
      </c>
      <c r="E11" t="s">
        <v>94</v>
      </c>
      <c r="F11" t="s">
        <v>87</v>
      </c>
      <c r="G11" t="s">
        <v>67</v>
      </c>
      <c r="H11" t="s">
        <v>69</v>
      </c>
    </row>
    <row r="12" spans="2:18" x14ac:dyDescent="0.25">
      <c r="B12" s="67" t="s">
        <v>78</v>
      </c>
      <c r="C12" t="s">
        <v>100</v>
      </c>
      <c r="D12">
        <v>40</v>
      </c>
      <c r="E12">
        <v>40</v>
      </c>
      <c r="F12">
        <v>60</v>
      </c>
      <c r="G12">
        <v>65</v>
      </c>
      <c r="H12">
        <v>85</v>
      </c>
    </row>
    <row r="13" spans="2:18" x14ac:dyDescent="0.25">
      <c r="B13" s="68" t="s">
        <v>92</v>
      </c>
      <c r="C13" t="s">
        <v>100</v>
      </c>
      <c r="D13">
        <v>66</v>
      </c>
      <c r="E13">
        <v>30</v>
      </c>
      <c r="F13">
        <v>40</v>
      </c>
      <c r="G13">
        <v>65</v>
      </c>
      <c r="H13">
        <v>85</v>
      </c>
    </row>
    <row r="15" spans="2:18" x14ac:dyDescent="0.25">
      <c r="B15" s="43" t="s">
        <v>95</v>
      </c>
      <c r="H15" s="43" t="s">
        <v>84</v>
      </c>
      <c r="R15" s="43" t="s">
        <v>97</v>
      </c>
    </row>
    <row r="46" spans="2:2" x14ac:dyDescent="0.25">
      <c r="B46" s="43" t="s">
        <v>96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50AF-6EA1-4E49-874F-719E2E469BBD}">
  <dimension ref="B1:M27"/>
  <sheetViews>
    <sheetView workbookViewId="0">
      <selection activeCell="J9" sqref="F9:J9"/>
    </sheetView>
  </sheetViews>
  <sheetFormatPr defaultRowHeight="15" x14ac:dyDescent="0.25"/>
  <cols>
    <col min="1" max="3" width="3.7109375" customWidth="1"/>
    <col min="4" max="4" width="10.28515625" bestFit="1" customWidth="1"/>
    <col min="13" max="13" width="3.7109375" customWidth="1"/>
    <col min="14" max="14" width="10.140625" customWidth="1"/>
    <col min="15" max="15" width="11" customWidth="1"/>
  </cols>
  <sheetData>
    <row r="1" spans="2:13" ht="15.75" thickBot="1" x14ac:dyDescent="0.3"/>
    <row r="2" spans="2:13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x14ac:dyDescent="0.25">
      <c r="B3" s="8"/>
      <c r="C3" s="9"/>
      <c r="D3" s="83" t="s">
        <v>69</v>
      </c>
      <c r="E3" s="83"/>
      <c r="F3" s="83"/>
      <c r="G3" s="83"/>
      <c r="H3" s="83"/>
      <c r="I3" s="83"/>
      <c r="J3" s="83"/>
      <c r="K3" s="83"/>
      <c r="L3" s="83"/>
      <c r="M3" s="10"/>
    </row>
    <row r="4" spans="2:13" x14ac:dyDescent="0.25">
      <c r="B4" s="8"/>
      <c r="C4" s="2"/>
      <c r="D4" s="2" t="s">
        <v>66</v>
      </c>
      <c r="E4" s="2">
        <v>30</v>
      </c>
      <c r="F4" s="2">
        <v>40</v>
      </c>
      <c r="G4" s="2">
        <v>50</v>
      </c>
      <c r="H4" s="2">
        <v>60</v>
      </c>
      <c r="I4" s="2">
        <v>70</v>
      </c>
      <c r="J4" s="2">
        <v>80</v>
      </c>
      <c r="K4" s="2">
        <v>90</v>
      </c>
      <c r="L4" s="2">
        <v>100</v>
      </c>
      <c r="M4" s="10"/>
    </row>
    <row r="5" spans="2:13" x14ac:dyDescent="0.25">
      <c r="B5" s="8"/>
      <c r="C5" s="79" t="s">
        <v>67</v>
      </c>
      <c r="D5" s="2">
        <v>30</v>
      </c>
      <c r="E5" s="46">
        <v>-2.2599999999999999E-2</v>
      </c>
      <c r="F5" s="46">
        <v>0.1981</v>
      </c>
      <c r="G5" s="46">
        <v>0.39500000000000002</v>
      </c>
      <c r="H5" s="46">
        <v>0.54279999999999995</v>
      </c>
      <c r="I5" s="46">
        <v>0.61770000000000003</v>
      </c>
      <c r="J5" s="47">
        <f>0.0163*J4 - 0.4665</f>
        <v>0.8374999999999998</v>
      </c>
      <c r="K5" s="47">
        <f t="shared" ref="K5:L5" si="0">0.0163*K4 - 0.4665</f>
        <v>1.0004999999999997</v>
      </c>
      <c r="L5" s="47">
        <f t="shared" si="0"/>
        <v>1.1635</v>
      </c>
      <c r="M5" s="10"/>
    </row>
    <row r="6" spans="2:13" x14ac:dyDescent="0.25">
      <c r="B6" s="8"/>
      <c r="C6" s="79"/>
      <c r="D6" s="2">
        <v>40</v>
      </c>
      <c r="E6" s="46">
        <v>-0.29220000000000002</v>
      </c>
      <c r="F6" s="46">
        <v>-0.1583</v>
      </c>
      <c r="G6" s="46">
        <v>3.3700000000000001E-2</v>
      </c>
      <c r="H6" s="46">
        <v>0.22070000000000001</v>
      </c>
      <c r="I6" s="46">
        <v>0.44550000000000001</v>
      </c>
      <c r="J6" s="46">
        <v>0.54579999999999995</v>
      </c>
      <c r="K6" s="47">
        <f>0.0177*K4 - 0.8399</f>
        <v>0.75309999999999999</v>
      </c>
      <c r="L6" s="47">
        <f>0.0177*L4 - 0.8399</f>
        <v>0.93010000000000004</v>
      </c>
      <c r="M6" s="10"/>
    </row>
    <row r="7" spans="2:13" x14ac:dyDescent="0.25">
      <c r="B7" s="8"/>
      <c r="C7" s="79"/>
      <c r="D7" s="2">
        <v>50</v>
      </c>
      <c r="E7" s="46">
        <v>-0.41289999999999999</v>
      </c>
      <c r="F7" s="46">
        <v>-0.28899999999999998</v>
      </c>
      <c r="G7" s="46">
        <v>-0.156</v>
      </c>
      <c r="H7" s="46">
        <v>0</v>
      </c>
      <c r="I7" s="46">
        <v>0.16700000000000001</v>
      </c>
      <c r="J7" s="46">
        <v>0.30980000000000002</v>
      </c>
      <c r="K7" s="47">
        <f>0.0147*K4 - 0.8708</f>
        <v>0.45219999999999994</v>
      </c>
      <c r="L7" s="47">
        <v>0.55000000000000004</v>
      </c>
      <c r="M7" s="10"/>
    </row>
    <row r="8" spans="2:13" x14ac:dyDescent="0.25">
      <c r="B8" s="8"/>
      <c r="C8" s="79"/>
      <c r="D8" s="2">
        <v>60</v>
      </c>
      <c r="E8" s="47">
        <f>0.0124*E4 - 0.9017</f>
        <v>-0.52969999999999995</v>
      </c>
      <c r="F8" s="47">
        <f>0.0124*F4 - 0.9017</f>
        <v>-0.40569999999999995</v>
      </c>
      <c r="G8" s="46">
        <v>-0.29160000000000003</v>
      </c>
      <c r="H8" s="46">
        <v>-0.14810000000000001</v>
      </c>
      <c r="I8" s="46">
        <v>-2.63E-2</v>
      </c>
      <c r="J8" s="46">
        <v>8.0799999999999997E-2</v>
      </c>
      <c r="K8" s="47">
        <f>0.0124*K4 - 0.9017</f>
        <v>0.21429999999999993</v>
      </c>
      <c r="L8" s="47">
        <f>0.0124*L4 - 0.9017</f>
        <v>0.33830000000000005</v>
      </c>
      <c r="M8" s="10"/>
    </row>
    <row r="9" spans="2:13" x14ac:dyDescent="0.25">
      <c r="B9" s="8"/>
      <c r="C9" s="79"/>
      <c r="D9" s="2">
        <v>70</v>
      </c>
      <c r="E9" s="47">
        <f>0.0111*E4 - 0.9953</f>
        <v>-0.66229999999999989</v>
      </c>
      <c r="F9" s="47">
        <f t="shared" ref="F9:G9" si="1">0.0111*F4 - 0.9953</f>
        <v>-0.5512999999999999</v>
      </c>
      <c r="G9" s="47">
        <f t="shared" si="1"/>
        <v>-0.44029999999999991</v>
      </c>
      <c r="H9" s="46">
        <v>-0.3266</v>
      </c>
      <c r="I9" s="46">
        <v>-0.2162</v>
      </c>
      <c r="J9" s="46">
        <v>-0.1038</v>
      </c>
      <c r="K9" s="47">
        <f>0.0111*K4 - 0.9953</f>
        <v>3.7000000000000366E-3</v>
      </c>
      <c r="L9" s="47">
        <f>0.0111*L4 - 0.9953</f>
        <v>0.11470000000000014</v>
      </c>
      <c r="M9" s="10"/>
    </row>
    <row r="10" spans="2:13" x14ac:dyDescent="0.25">
      <c r="B10" s="8"/>
      <c r="C10" s="79"/>
      <c r="D10" s="2">
        <v>80</v>
      </c>
      <c r="E10" s="47">
        <f t="shared" ref="E10:I10" si="2">E4*0.0104-1.0936</f>
        <v>-0.78159999999999985</v>
      </c>
      <c r="F10" s="47">
        <f t="shared" si="2"/>
        <v>-0.67759999999999998</v>
      </c>
      <c r="G10" s="47">
        <f t="shared" si="2"/>
        <v>-0.57359999999999989</v>
      </c>
      <c r="H10" s="47">
        <f t="shared" si="2"/>
        <v>-0.46959999999999991</v>
      </c>
      <c r="I10" s="47">
        <f t="shared" si="2"/>
        <v>-0.36559999999999993</v>
      </c>
      <c r="J10" s="47">
        <f>J4*0.0104-1.0936</f>
        <v>-0.26159999999999994</v>
      </c>
      <c r="K10" s="46">
        <v>-0.16209999999999999</v>
      </c>
      <c r="L10" s="46">
        <v>-5.8599999999999999E-2</v>
      </c>
      <c r="M10" s="10"/>
    </row>
    <row r="11" spans="2:13" x14ac:dyDescent="0.25">
      <c r="B11" s="8"/>
      <c r="C11" s="79"/>
      <c r="D11" s="2">
        <v>90</v>
      </c>
      <c r="E11" s="47">
        <f t="shared" ref="E11" si="3" xml:space="preserve"> 0.0096*E4 - 1.1854</f>
        <v>-0.89739999999999998</v>
      </c>
      <c r="F11" s="47">
        <v>-0.8</v>
      </c>
      <c r="G11" s="47">
        <f xml:space="preserve"> 0.0096*G4 - 1.1854</f>
        <v>-0.70540000000000003</v>
      </c>
      <c r="H11" s="47">
        <f t="shared" ref="H11:L11" si="4" xml:space="preserve"> 0.0096*H4 - 1.1854</f>
        <v>-0.60940000000000005</v>
      </c>
      <c r="I11" s="47">
        <f t="shared" si="4"/>
        <v>-0.51340000000000008</v>
      </c>
      <c r="J11" s="47">
        <f t="shared" si="4"/>
        <v>-0.4174000000000001</v>
      </c>
      <c r="K11" s="46">
        <v>-0.31819999999999998</v>
      </c>
      <c r="L11" s="47">
        <f t="shared" si="4"/>
        <v>-0.22540000000000004</v>
      </c>
      <c r="M11" s="10"/>
    </row>
    <row r="12" spans="2:13" ht="15.75" thickBot="1" x14ac:dyDescent="0.3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</row>
    <row r="14" spans="2:13" ht="15.75" thickBot="1" x14ac:dyDescent="0.3"/>
    <row r="15" spans="2:13" ht="15.75" thickBot="1" x14ac:dyDescent="0.3">
      <c r="B15" s="80" t="s">
        <v>68</v>
      </c>
      <c r="C15" s="81"/>
      <c r="D15" s="82"/>
      <c r="E15" s="45">
        <v>2600</v>
      </c>
      <c r="F15" t="s">
        <v>90</v>
      </c>
    </row>
    <row r="16" spans="2:13" ht="15.75" thickBot="1" x14ac:dyDescent="0.3"/>
    <row r="17" spans="2:13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2:13" x14ac:dyDescent="0.25">
      <c r="B18" s="8"/>
      <c r="C18" s="9"/>
      <c r="D18" s="83" t="s">
        <v>69</v>
      </c>
      <c r="E18" s="83"/>
      <c r="F18" s="83"/>
      <c r="G18" s="83"/>
      <c r="H18" s="83"/>
      <c r="I18" s="83"/>
      <c r="J18" s="83"/>
      <c r="K18" s="83"/>
      <c r="L18" s="83"/>
      <c r="M18" s="10"/>
    </row>
    <row r="19" spans="2:13" x14ac:dyDescent="0.25">
      <c r="B19" s="8"/>
      <c r="C19" s="2"/>
      <c r="D19" s="2" t="s">
        <v>66</v>
      </c>
      <c r="E19" s="2">
        <v>30</v>
      </c>
      <c r="F19" s="2">
        <v>40</v>
      </c>
      <c r="G19" s="2">
        <v>50</v>
      </c>
      <c r="H19" s="2">
        <v>60</v>
      </c>
      <c r="I19" s="2">
        <v>70</v>
      </c>
      <c r="J19" s="2">
        <v>80</v>
      </c>
      <c r="K19" s="2">
        <v>90</v>
      </c>
      <c r="L19" s="2">
        <v>100</v>
      </c>
      <c r="M19" s="10"/>
    </row>
    <row r="20" spans="2:13" x14ac:dyDescent="0.25">
      <c r="B20" s="8"/>
      <c r="C20" s="79" t="s">
        <v>67</v>
      </c>
      <c r="D20" s="2">
        <v>30</v>
      </c>
      <c r="E20" s="48">
        <f>(1+E5)*$E$15</f>
        <v>2541.2400000000002</v>
      </c>
      <c r="F20" s="48">
        <f t="shared" ref="F20:L20" si="5">(1+F5)*$E$15</f>
        <v>3115.06</v>
      </c>
      <c r="G20" s="48">
        <f t="shared" si="5"/>
        <v>3627</v>
      </c>
      <c r="H20" s="48">
        <f t="shared" si="5"/>
        <v>4011.2799999999997</v>
      </c>
      <c r="I20" s="48">
        <f t="shared" si="5"/>
        <v>4206.0200000000004</v>
      </c>
      <c r="J20" s="48">
        <f t="shared" si="5"/>
        <v>4777.5</v>
      </c>
      <c r="K20" s="48">
        <f t="shared" si="5"/>
        <v>5201.2999999999993</v>
      </c>
      <c r="L20" s="48">
        <f t="shared" si="5"/>
        <v>5625.1</v>
      </c>
      <c r="M20" s="10"/>
    </row>
    <row r="21" spans="2:13" x14ac:dyDescent="0.25">
      <c r="B21" s="8"/>
      <c r="C21" s="79"/>
      <c r="D21" s="2">
        <v>40</v>
      </c>
      <c r="E21" s="48">
        <f t="shared" ref="E21:L21" si="6">(1+E6)*$E$15</f>
        <v>1840.28</v>
      </c>
      <c r="F21" s="48">
        <f t="shared" si="6"/>
        <v>2188.42</v>
      </c>
      <c r="G21" s="48">
        <f t="shared" si="6"/>
        <v>2687.6200000000003</v>
      </c>
      <c r="H21" s="48">
        <f t="shared" si="6"/>
        <v>3173.8199999999997</v>
      </c>
      <c r="I21" s="48">
        <f t="shared" si="6"/>
        <v>3758.3</v>
      </c>
      <c r="J21" s="48">
        <f t="shared" si="6"/>
        <v>4019.0799999999995</v>
      </c>
      <c r="K21" s="48">
        <f t="shared" si="6"/>
        <v>4558.0599999999995</v>
      </c>
      <c r="L21" s="48">
        <f t="shared" si="6"/>
        <v>5018.26</v>
      </c>
      <c r="M21" s="10"/>
    </row>
    <row r="22" spans="2:13" x14ac:dyDescent="0.25">
      <c r="B22" s="8"/>
      <c r="C22" s="79"/>
      <c r="D22" s="2">
        <v>50</v>
      </c>
      <c r="E22" s="48">
        <f t="shared" ref="E22:L22" si="7">(1+E7)*$E$15</f>
        <v>1526.4599999999998</v>
      </c>
      <c r="F22" s="48">
        <f t="shared" si="7"/>
        <v>1848.6000000000001</v>
      </c>
      <c r="G22" s="48">
        <f t="shared" si="7"/>
        <v>2194.4</v>
      </c>
      <c r="H22" s="48">
        <f t="shared" si="7"/>
        <v>2600</v>
      </c>
      <c r="I22" s="48">
        <f t="shared" si="7"/>
        <v>3034.2000000000003</v>
      </c>
      <c r="J22" s="48">
        <f t="shared" si="7"/>
        <v>3405.48</v>
      </c>
      <c r="K22" s="48">
        <f t="shared" si="7"/>
        <v>3775.72</v>
      </c>
      <c r="L22" s="48">
        <f t="shared" si="7"/>
        <v>4030</v>
      </c>
      <c r="M22" s="10"/>
    </row>
    <row r="23" spans="2:13" x14ac:dyDescent="0.25">
      <c r="B23" s="8"/>
      <c r="C23" s="79"/>
      <c r="D23" s="2">
        <v>60</v>
      </c>
      <c r="E23" s="48">
        <f t="shared" ref="E23:L23" si="8">(1+E8)*$E$15</f>
        <v>1222.7800000000002</v>
      </c>
      <c r="F23" s="48">
        <f t="shared" si="8"/>
        <v>1545.18</v>
      </c>
      <c r="G23" s="48">
        <f t="shared" si="8"/>
        <v>1841.8399999999997</v>
      </c>
      <c r="H23" s="48">
        <f t="shared" si="8"/>
        <v>2214.94</v>
      </c>
      <c r="I23" s="48">
        <f t="shared" si="8"/>
        <v>2531.62</v>
      </c>
      <c r="J23" s="48">
        <f t="shared" si="8"/>
        <v>2810.08</v>
      </c>
      <c r="K23" s="48">
        <f t="shared" si="8"/>
        <v>3157.18</v>
      </c>
      <c r="L23" s="48">
        <f t="shared" si="8"/>
        <v>3479.58</v>
      </c>
      <c r="M23" s="10"/>
    </row>
    <row r="24" spans="2:13" x14ac:dyDescent="0.25">
      <c r="B24" s="8"/>
      <c r="C24" s="79"/>
      <c r="D24" s="2">
        <v>70</v>
      </c>
      <c r="E24" s="48">
        <f t="shared" ref="E24:L24" si="9">(1+E9)*$E$15</f>
        <v>878.02000000000032</v>
      </c>
      <c r="F24" s="48">
        <f t="shared" si="9"/>
        <v>1166.6200000000003</v>
      </c>
      <c r="G24" s="48">
        <f t="shared" si="9"/>
        <v>1455.2200000000003</v>
      </c>
      <c r="H24" s="48">
        <f t="shared" si="9"/>
        <v>1750.84</v>
      </c>
      <c r="I24" s="48">
        <f t="shared" si="9"/>
        <v>2037.88</v>
      </c>
      <c r="J24" s="48">
        <f t="shared" si="9"/>
        <v>2330.12</v>
      </c>
      <c r="K24" s="48">
        <f t="shared" si="9"/>
        <v>2609.62</v>
      </c>
      <c r="L24" s="48">
        <f t="shared" si="9"/>
        <v>2898.2200000000003</v>
      </c>
      <c r="M24" s="10"/>
    </row>
    <row r="25" spans="2:13" x14ac:dyDescent="0.25">
      <c r="B25" s="8"/>
      <c r="C25" s="79"/>
      <c r="D25" s="2">
        <v>80</v>
      </c>
      <c r="E25" s="48">
        <f t="shared" ref="E25:L25" si="10">(1+E10)*$E$15</f>
        <v>567.84000000000037</v>
      </c>
      <c r="F25" s="48">
        <f t="shared" si="10"/>
        <v>838.24</v>
      </c>
      <c r="G25" s="48">
        <f t="shared" si="10"/>
        <v>1108.6400000000003</v>
      </c>
      <c r="H25" s="48">
        <f t="shared" si="10"/>
        <v>1379.0400000000002</v>
      </c>
      <c r="I25" s="48">
        <f t="shared" si="10"/>
        <v>1649.4400000000003</v>
      </c>
      <c r="J25" s="48">
        <f t="shared" si="10"/>
        <v>1919.8400000000001</v>
      </c>
      <c r="K25" s="48">
        <f t="shared" si="10"/>
        <v>2178.54</v>
      </c>
      <c r="L25" s="48">
        <f t="shared" si="10"/>
        <v>2447.64</v>
      </c>
      <c r="M25" s="10"/>
    </row>
    <row r="26" spans="2:13" x14ac:dyDescent="0.25">
      <c r="B26" s="8"/>
      <c r="C26" s="79"/>
      <c r="D26" s="2">
        <v>90</v>
      </c>
      <c r="E26" s="48">
        <f t="shared" ref="E26:L26" si="11">(1+E11)*$E$15</f>
        <v>266.76000000000005</v>
      </c>
      <c r="F26" s="48">
        <f t="shared" si="11"/>
        <v>519.99999999999989</v>
      </c>
      <c r="G26" s="48">
        <f t="shared" si="11"/>
        <v>765.95999999999992</v>
      </c>
      <c r="H26" s="48">
        <f t="shared" si="11"/>
        <v>1015.5599999999998</v>
      </c>
      <c r="I26" s="48">
        <f t="shared" si="11"/>
        <v>1265.1599999999999</v>
      </c>
      <c r="J26" s="48">
        <f t="shared" si="11"/>
        <v>1514.7599999999998</v>
      </c>
      <c r="K26" s="48">
        <f t="shared" si="11"/>
        <v>1772.6799999999998</v>
      </c>
      <c r="L26" s="48">
        <f t="shared" si="11"/>
        <v>2013.9599999999998</v>
      </c>
      <c r="M26" s="10"/>
    </row>
    <row r="27" spans="2:13" ht="15.75" thickBot="1" x14ac:dyDescent="0.3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</row>
  </sheetData>
  <mergeCells count="5">
    <mergeCell ref="C5:C11"/>
    <mergeCell ref="C20:C26"/>
    <mergeCell ref="B15:D15"/>
    <mergeCell ref="D3:L3"/>
    <mergeCell ref="D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E9C5-C780-4DE9-9CD7-5A33832423BF}">
  <dimension ref="B1:M27"/>
  <sheetViews>
    <sheetView workbookViewId="0">
      <selection activeCell="K9" sqref="F9:K9"/>
    </sheetView>
  </sheetViews>
  <sheetFormatPr defaultRowHeight="15" x14ac:dyDescent="0.25"/>
  <cols>
    <col min="1" max="3" width="3.7109375" customWidth="1"/>
    <col min="4" max="4" width="10.28515625" bestFit="1" customWidth="1"/>
    <col min="13" max="13" width="3.7109375" customWidth="1"/>
    <col min="14" max="14" width="10.140625" customWidth="1"/>
    <col min="15" max="15" width="11" customWidth="1"/>
  </cols>
  <sheetData>
    <row r="1" spans="2:13" ht="15.75" thickBot="1" x14ac:dyDescent="0.3"/>
    <row r="2" spans="2:13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x14ac:dyDescent="0.25">
      <c r="B3" s="8"/>
      <c r="C3" s="9"/>
      <c r="D3" s="83" t="s">
        <v>69</v>
      </c>
      <c r="E3" s="83"/>
      <c r="F3" s="83"/>
      <c r="G3" s="83"/>
      <c r="H3" s="83"/>
      <c r="I3" s="83"/>
      <c r="J3" s="83"/>
      <c r="K3" s="83"/>
      <c r="L3" s="83"/>
      <c r="M3" s="10"/>
    </row>
    <row r="4" spans="2:13" x14ac:dyDescent="0.25">
      <c r="B4" s="8"/>
      <c r="C4" s="2"/>
      <c r="D4" s="2" t="s">
        <v>66</v>
      </c>
      <c r="E4" s="2">
        <v>30</v>
      </c>
      <c r="F4" s="2">
        <v>40</v>
      </c>
      <c r="G4" s="2">
        <v>50</v>
      </c>
      <c r="H4" s="2">
        <v>60</v>
      </c>
      <c r="I4" s="2">
        <v>70</v>
      </c>
      <c r="J4" s="57">
        <v>80</v>
      </c>
      <c r="K4" s="57">
        <v>90</v>
      </c>
      <c r="L4" s="57">
        <v>100</v>
      </c>
      <c r="M4" s="10"/>
    </row>
    <row r="5" spans="2:13" x14ac:dyDescent="0.25">
      <c r="B5" s="8"/>
      <c r="C5" s="79" t="s">
        <v>67</v>
      </c>
      <c r="D5" s="2">
        <v>30</v>
      </c>
      <c r="E5" s="46">
        <v>-4.99E-2</v>
      </c>
      <c r="F5" s="46">
        <v>-6.7900000000000002E-2</v>
      </c>
      <c r="G5" s="46">
        <v>-0.1129</v>
      </c>
      <c r="H5" s="46">
        <v>-0.17280000000000001</v>
      </c>
      <c r="I5" s="53">
        <v>-0.21659999999999999</v>
      </c>
      <c r="J5" s="47">
        <f xml:space="preserve"> -0.0044*J4 + 0.0951</f>
        <v>-0.25690000000000002</v>
      </c>
      <c r="K5" s="47">
        <f t="shared" ref="K5:L5" si="0" xml:space="preserve"> -0.0044*K4 + 0.0951</f>
        <v>-0.3009</v>
      </c>
      <c r="L5" s="47">
        <f t="shared" si="0"/>
        <v>-0.34489999999999998</v>
      </c>
      <c r="M5" s="10"/>
    </row>
    <row r="6" spans="2:13" x14ac:dyDescent="0.25">
      <c r="B6" s="8"/>
      <c r="C6" s="79"/>
      <c r="D6" s="2">
        <v>40</v>
      </c>
      <c r="E6" s="46">
        <v>1.5599999999999999E-2</v>
      </c>
      <c r="F6" s="46">
        <v>-2.3199999999999998E-2</v>
      </c>
      <c r="G6" s="46">
        <v>-4.6800000000000001E-2</v>
      </c>
      <c r="H6" s="46">
        <v>-6.6900000000000001E-2</v>
      </c>
      <c r="I6" s="46">
        <v>-9.1999999999999998E-2</v>
      </c>
      <c r="J6" s="59">
        <v>-0.126</v>
      </c>
      <c r="K6" s="47">
        <f xml:space="preserve"> -0.0027*K4 + 0.0903</f>
        <v>-0.1527</v>
      </c>
      <c r="L6" s="47">
        <f xml:space="preserve"> -0.0027*L4 + 0.0903</f>
        <v>-0.17970000000000003</v>
      </c>
      <c r="M6" s="10"/>
    </row>
    <row r="7" spans="2:13" x14ac:dyDescent="0.25">
      <c r="B7" s="8"/>
      <c r="C7" s="79"/>
      <c r="D7" s="2">
        <v>50</v>
      </c>
      <c r="E7" s="54">
        <v>0.1135</v>
      </c>
      <c r="F7" s="54">
        <v>8.5599999999999996E-2</v>
      </c>
      <c r="G7" s="46">
        <v>3.2199999999999999E-2</v>
      </c>
      <c r="H7" s="46">
        <v>0</v>
      </c>
      <c r="I7" s="46">
        <v>-1.6899999999999998E-2</v>
      </c>
      <c r="J7" s="53">
        <v>-1.8599999999999998E-2</v>
      </c>
      <c r="K7" s="47">
        <f xml:space="preserve"> -0.0029*K4 + 0.1898</f>
        <v>-7.1200000000000013E-2</v>
      </c>
      <c r="L7" s="47">
        <f xml:space="preserve"> -0.0029*L4 + 0.1898</f>
        <v>-0.10019999999999998</v>
      </c>
      <c r="M7" s="10"/>
    </row>
    <row r="8" spans="2:13" x14ac:dyDescent="0.25">
      <c r="B8" s="8"/>
      <c r="C8" s="79"/>
      <c r="D8" s="52">
        <v>60</v>
      </c>
      <c r="E8" s="47">
        <f xml:space="preserve"> -0.0023*E4 + 0.224</f>
        <v>0.155</v>
      </c>
      <c r="F8" s="47">
        <f xml:space="preserve"> -0.0023*F4 + 0.224</f>
        <v>0.13200000000000001</v>
      </c>
      <c r="G8" s="55">
        <v>0.1193</v>
      </c>
      <c r="H8" s="46">
        <v>7.0599999999999996E-2</v>
      </c>
      <c r="I8" s="46">
        <v>5.5300000000000002E-2</v>
      </c>
      <c r="J8" s="53">
        <v>4.8300000000000003E-2</v>
      </c>
      <c r="K8" s="47">
        <f xml:space="preserve"> -0.0023*K4 + 0.2218</f>
        <v>1.4800000000000008E-2</v>
      </c>
      <c r="L8" s="47">
        <f xml:space="preserve"> -0.0023*L4 + 0.2218</f>
        <v>-8.1999999999999851E-3</v>
      </c>
      <c r="M8" s="10"/>
    </row>
    <row r="9" spans="2:13" x14ac:dyDescent="0.25">
      <c r="B9" s="8"/>
      <c r="C9" s="79"/>
      <c r="D9" s="52">
        <v>70</v>
      </c>
      <c r="E9" s="47">
        <f xml:space="preserve"> -0.0024*E4 + 0.2805</f>
        <v>0.20850000000000002</v>
      </c>
      <c r="F9" s="47">
        <f t="shared" ref="F9:G9" si="1" xml:space="preserve"> -0.0024*F4 + 0.2805</f>
        <v>0.18450000000000005</v>
      </c>
      <c r="G9" s="47">
        <f t="shared" si="1"/>
        <v>0.16050000000000003</v>
      </c>
      <c r="H9" s="55">
        <v>0.13300000000000001</v>
      </c>
      <c r="I9" s="54">
        <v>0.1118</v>
      </c>
      <c r="J9" s="56">
        <v>8.5400000000000004E-2</v>
      </c>
      <c r="K9" s="47">
        <f xml:space="preserve"> -0.0024*K4 + 0.2767</f>
        <v>6.0700000000000032E-2</v>
      </c>
      <c r="L9" s="47">
        <f xml:space="preserve"> -0.0024*L4 + 0.2767</f>
        <v>3.670000000000001E-2</v>
      </c>
      <c r="M9" s="10"/>
    </row>
    <row r="10" spans="2:13" x14ac:dyDescent="0.25">
      <c r="B10" s="8"/>
      <c r="C10" s="79"/>
      <c r="D10" s="52">
        <v>80</v>
      </c>
      <c r="E10" s="47">
        <f xml:space="preserve"> -0.0027*E4 + 0.3389</f>
        <v>0.25789999999999996</v>
      </c>
      <c r="F10" s="47">
        <f t="shared" ref="F10:J10" si="2" xml:space="preserve"> -0.0027*F4 + 0.3389</f>
        <v>0.23089999999999997</v>
      </c>
      <c r="G10" s="47">
        <f t="shared" si="2"/>
        <v>0.20389999999999997</v>
      </c>
      <c r="H10" s="47">
        <f t="shared" si="2"/>
        <v>0.17689999999999997</v>
      </c>
      <c r="I10" s="47">
        <f t="shared" si="2"/>
        <v>0.14989999999999998</v>
      </c>
      <c r="J10" s="47">
        <f t="shared" si="2"/>
        <v>0.12289999999999995</v>
      </c>
      <c r="K10" s="60">
        <v>9.7699999999999995E-2</v>
      </c>
      <c r="L10" s="61">
        <v>7.0900000000000005E-2</v>
      </c>
      <c r="M10" s="10"/>
    </row>
    <row r="11" spans="2:13" x14ac:dyDescent="0.25">
      <c r="B11" s="8"/>
      <c r="C11" s="79"/>
      <c r="D11" s="2">
        <v>90</v>
      </c>
      <c r="E11" s="58">
        <v>0.3</v>
      </c>
      <c r="F11" s="58">
        <v>0.27</v>
      </c>
      <c r="G11" s="58">
        <v>0.24</v>
      </c>
      <c r="H11" s="58">
        <v>0.21</v>
      </c>
      <c r="I11" s="58">
        <v>0.18</v>
      </c>
      <c r="J11" s="58">
        <v>0.15</v>
      </c>
      <c r="K11" s="46">
        <v>0.1221</v>
      </c>
      <c r="L11" s="51">
        <v>0.09</v>
      </c>
      <c r="M11" s="10"/>
    </row>
    <row r="12" spans="2:13" ht="15.75" thickBot="1" x14ac:dyDescent="0.3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</row>
    <row r="14" spans="2:13" ht="15.75" thickBot="1" x14ac:dyDescent="0.3"/>
    <row r="15" spans="2:13" ht="15.75" thickBot="1" x14ac:dyDescent="0.3">
      <c r="B15" s="80" t="s">
        <v>68</v>
      </c>
      <c r="C15" s="81"/>
      <c r="D15" s="82"/>
      <c r="E15" s="45">
        <v>2900</v>
      </c>
      <c r="F15" t="s">
        <v>90</v>
      </c>
    </row>
    <row r="16" spans="2:13" ht="15.75" thickBot="1" x14ac:dyDescent="0.3"/>
    <row r="17" spans="2:13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2:13" x14ac:dyDescent="0.25">
      <c r="B18" s="8"/>
      <c r="C18" s="9"/>
      <c r="D18" s="83" t="s">
        <v>69</v>
      </c>
      <c r="E18" s="83"/>
      <c r="F18" s="83"/>
      <c r="G18" s="83"/>
      <c r="H18" s="83"/>
      <c r="I18" s="83"/>
      <c r="J18" s="83"/>
      <c r="K18" s="83"/>
      <c r="L18" s="83"/>
      <c r="M18" s="10"/>
    </row>
    <row r="19" spans="2:13" x14ac:dyDescent="0.25">
      <c r="B19" s="8"/>
      <c r="C19" s="2"/>
      <c r="D19" s="2" t="s">
        <v>66</v>
      </c>
      <c r="E19" s="2">
        <v>30</v>
      </c>
      <c r="F19" s="2">
        <v>40</v>
      </c>
      <c r="G19" s="2">
        <v>50</v>
      </c>
      <c r="H19" s="2">
        <v>60</v>
      </c>
      <c r="I19" s="2">
        <v>70</v>
      </c>
      <c r="J19" s="2">
        <v>80</v>
      </c>
      <c r="K19" s="2">
        <v>90</v>
      </c>
      <c r="L19" s="2">
        <v>100</v>
      </c>
      <c r="M19" s="10"/>
    </row>
    <row r="20" spans="2:13" x14ac:dyDescent="0.25">
      <c r="B20" s="8"/>
      <c r="C20" s="79" t="s">
        <v>67</v>
      </c>
      <c r="D20" s="2">
        <v>30</v>
      </c>
      <c r="E20" s="48">
        <f>(1+E5)*$E$15</f>
        <v>2755.29</v>
      </c>
      <c r="F20" s="48">
        <f t="shared" ref="F20:L20" si="3">(1+F5)*$E$15</f>
        <v>2703.09</v>
      </c>
      <c r="G20" s="48">
        <f t="shared" si="3"/>
        <v>2572.59</v>
      </c>
      <c r="H20" s="48">
        <f t="shared" si="3"/>
        <v>2398.8799999999997</v>
      </c>
      <c r="I20" s="48">
        <f t="shared" si="3"/>
        <v>2271.86</v>
      </c>
      <c r="J20" s="48">
        <f t="shared" si="3"/>
        <v>2154.9899999999998</v>
      </c>
      <c r="K20" s="48">
        <f t="shared" si="3"/>
        <v>2027.39</v>
      </c>
      <c r="L20" s="48">
        <f t="shared" si="3"/>
        <v>1899.79</v>
      </c>
      <c r="M20" s="10"/>
    </row>
    <row r="21" spans="2:13" x14ac:dyDescent="0.25">
      <c r="B21" s="8"/>
      <c r="C21" s="79"/>
      <c r="D21" s="2">
        <v>40</v>
      </c>
      <c r="E21" s="48">
        <f t="shared" ref="E21:L26" si="4">(1+E6)*$E$15</f>
        <v>2945.2400000000002</v>
      </c>
      <c r="F21" s="48">
        <f t="shared" si="4"/>
        <v>2832.72</v>
      </c>
      <c r="G21" s="48">
        <f t="shared" si="4"/>
        <v>2764.28</v>
      </c>
      <c r="H21" s="48">
        <f t="shared" si="4"/>
        <v>2705.9900000000002</v>
      </c>
      <c r="I21" s="48">
        <f t="shared" si="4"/>
        <v>2633.2000000000003</v>
      </c>
      <c r="J21" s="48">
        <f t="shared" si="4"/>
        <v>2534.6</v>
      </c>
      <c r="K21" s="48">
        <f t="shared" si="4"/>
        <v>2457.1699999999996</v>
      </c>
      <c r="L21" s="48">
        <f t="shared" si="4"/>
        <v>2378.87</v>
      </c>
      <c r="M21" s="10"/>
    </row>
    <row r="22" spans="2:13" x14ac:dyDescent="0.25">
      <c r="B22" s="8"/>
      <c r="C22" s="79"/>
      <c r="D22" s="2">
        <v>50</v>
      </c>
      <c r="E22" s="48">
        <f t="shared" si="4"/>
        <v>3229.1499999999996</v>
      </c>
      <c r="F22" s="48">
        <f t="shared" si="4"/>
        <v>3148.24</v>
      </c>
      <c r="G22" s="48">
        <f t="shared" si="4"/>
        <v>2993.38</v>
      </c>
      <c r="H22" s="48">
        <f t="shared" si="4"/>
        <v>2900</v>
      </c>
      <c r="I22" s="48">
        <f t="shared" si="4"/>
        <v>2850.99</v>
      </c>
      <c r="J22" s="48">
        <f t="shared" si="4"/>
        <v>2846.06</v>
      </c>
      <c r="K22" s="48">
        <f t="shared" si="4"/>
        <v>2693.52</v>
      </c>
      <c r="L22" s="48">
        <f t="shared" si="4"/>
        <v>2609.42</v>
      </c>
      <c r="M22" s="10"/>
    </row>
    <row r="23" spans="2:13" x14ac:dyDescent="0.25">
      <c r="B23" s="8"/>
      <c r="C23" s="79"/>
      <c r="D23" s="2">
        <v>60</v>
      </c>
      <c r="E23" s="48">
        <f t="shared" si="4"/>
        <v>3349.5</v>
      </c>
      <c r="F23" s="48">
        <f t="shared" si="4"/>
        <v>3282.8</v>
      </c>
      <c r="G23" s="48">
        <f t="shared" si="4"/>
        <v>3245.97</v>
      </c>
      <c r="H23" s="48">
        <f t="shared" si="4"/>
        <v>3104.74</v>
      </c>
      <c r="I23" s="48">
        <f t="shared" si="4"/>
        <v>3060.37</v>
      </c>
      <c r="J23" s="48">
        <f t="shared" si="4"/>
        <v>3040.07</v>
      </c>
      <c r="K23" s="48">
        <f t="shared" si="4"/>
        <v>2942.9199999999996</v>
      </c>
      <c r="L23" s="48">
        <f t="shared" si="4"/>
        <v>2876.2200000000003</v>
      </c>
      <c r="M23" s="10"/>
    </row>
    <row r="24" spans="2:13" x14ac:dyDescent="0.25">
      <c r="B24" s="8"/>
      <c r="C24" s="79"/>
      <c r="D24" s="2">
        <v>70</v>
      </c>
      <c r="E24" s="48">
        <f>(1+E10)*$E$15</f>
        <v>3647.91</v>
      </c>
      <c r="F24" s="48">
        <f t="shared" si="4"/>
        <v>3435.05</v>
      </c>
      <c r="G24" s="48">
        <f t="shared" si="4"/>
        <v>3365.4500000000003</v>
      </c>
      <c r="H24" s="48">
        <f t="shared" si="4"/>
        <v>3285.7</v>
      </c>
      <c r="I24" s="48">
        <f t="shared" si="4"/>
        <v>3224.22</v>
      </c>
      <c r="J24" s="48">
        <f t="shared" si="4"/>
        <v>3147.66</v>
      </c>
      <c r="K24" s="48">
        <f t="shared" si="4"/>
        <v>3076.0299999999997</v>
      </c>
      <c r="L24" s="48">
        <f t="shared" si="4"/>
        <v>3006.43</v>
      </c>
      <c r="M24" s="10"/>
    </row>
    <row r="25" spans="2:13" x14ac:dyDescent="0.25">
      <c r="B25" s="8"/>
      <c r="C25" s="79"/>
      <c r="D25" s="2">
        <v>80</v>
      </c>
      <c r="E25" s="48">
        <f>(1+E11)*$E$15</f>
        <v>3770</v>
      </c>
      <c r="F25" s="48">
        <f t="shared" si="4"/>
        <v>3569.6099999999997</v>
      </c>
      <c r="G25" s="48">
        <f t="shared" si="4"/>
        <v>3491.31</v>
      </c>
      <c r="H25" s="48">
        <f t="shared" si="4"/>
        <v>3413.01</v>
      </c>
      <c r="I25" s="48">
        <f t="shared" si="4"/>
        <v>3334.7099999999996</v>
      </c>
      <c r="J25" s="48">
        <f t="shared" si="4"/>
        <v>3256.41</v>
      </c>
      <c r="K25" s="48">
        <f t="shared" si="4"/>
        <v>3183.33</v>
      </c>
      <c r="L25" s="48">
        <f t="shared" si="4"/>
        <v>3105.6099999999997</v>
      </c>
      <c r="M25" s="10"/>
    </row>
    <row r="26" spans="2:13" x14ac:dyDescent="0.25">
      <c r="B26" s="8"/>
      <c r="C26" s="79"/>
      <c r="D26" s="2">
        <v>90</v>
      </c>
      <c r="E26" s="48">
        <f t="shared" si="4"/>
        <v>3770</v>
      </c>
      <c r="F26" s="48">
        <f t="shared" si="4"/>
        <v>3683</v>
      </c>
      <c r="G26" s="48">
        <f t="shared" si="4"/>
        <v>3596</v>
      </c>
      <c r="H26" s="48">
        <f t="shared" si="4"/>
        <v>3509</v>
      </c>
      <c r="I26" s="48">
        <f t="shared" si="4"/>
        <v>3422</v>
      </c>
      <c r="J26" s="48">
        <f t="shared" si="4"/>
        <v>3334.9999999999995</v>
      </c>
      <c r="K26" s="48">
        <f t="shared" si="4"/>
        <v>3254.09</v>
      </c>
      <c r="L26" s="48">
        <f t="shared" si="4"/>
        <v>3161.0000000000005</v>
      </c>
      <c r="M26" s="10"/>
    </row>
    <row r="27" spans="2:13" ht="15.75" thickBot="1" x14ac:dyDescent="0.3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</row>
  </sheetData>
  <mergeCells count="5">
    <mergeCell ref="D3:L3"/>
    <mergeCell ref="C5:C11"/>
    <mergeCell ref="B15:D15"/>
    <mergeCell ref="D18:L18"/>
    <mergeCell ref="C20:C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12A5-7191-4045-A1A2-9FAAFEA1F1BB}">
  <dimension ref="B1:M27"/>
  <sheetViews>
    <sheetView workbookViewId="0">
      <selection activeCell="J9" sqref="F9:J9"/>
    </sheetView>
  </sheetViews>
  <sheetFormatPr defaultRowHeight="15" x14ac:dyDescent="0.25"/>
  <cols>
    <col min="1" max="3" width="3.7109375" customWidth="1"/>
    <col min="4" max="4" width="10.28515625" bestFit="1" customWidth="1"/>
    <col min="13" max="13" width="3.7109375" customWidth="1"/>
  </cols>
  <sheetData>
    <row r="1" spans="2:13" ht="15.75" thickBot="1" x14ac:dyDescent="0.3"/>
    <row r="2" spans="2:13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x14ac:dyDescent="0.25">
      <c r="B3" s="8"/>
      <c r="C3" s="9"/>
      <c r="D3" s="83" t="s">
        <v>69</v>
      </c>
      <c r="E3" s="83"/>
      <c r="F3" s="83"/>
      <c r="G3" s="83"/>
      <c r="H3" s="83"/>
      <c r="I3" s="83"/>
      <c r="J3" s="83"/>
      <c r="K3" s="83"/>
      <c r="L3" s="83"/>
      <c r="M3" s="10"/>
    </row>
    <row r="4" spans="2:13" x14ac:dyDescent="0.25">
      <c r="B4" s="8"/>
      <c r="C4" s="2"/>
      <c r="D4" s="2" t="s">
        <v>65</v>
      </c>
      <c r="E4" s="2">
        <v>30</v>
      </c>
      <c r="F4" s="2">
        <v>40</v>
      </c>
      <c r="G4" s="2">
        <v>50</v>
      </c>
      <c r="H4" s="2">
        <v>60</v>
      </c>
      <c r="I4" s="2">
        <v>70</v>
      </c>
      <c r="J4" s="2">
        <v>80</v>
      </c>
      <c r="K4" s="2">
        <v>90</v>
      </c>
      <c r="L4" s="2">
        <v>100</v>
      </c>
      <c r="M4" s="10"/>
    </row>
    <row r="5" spans="2:13" x14ac:dyDescent="0.25">
      <c r="B5" s="8"/>
      <c r="C5" s="79" t="s">
        <v>67</v>
      </c>
      <c r="D5" s="2">
        <v>30</v>
      </c>
      <c r="E5" s="46">
        <v>-0.1191</v>
      </c>
      <c r="F5" s="46">
        <v>-9.5899999999999999E-2</v>
      </c>
      <c r="G5" s="46">
        <v>-7.4700000000000003E-2</v>
      </c>
      <c r="H5" s="46">
        <v>-6.5799999999999997E-2</v>
      </c>
      <c r="I5" s="46">
        <v>-4.9399999999999999E-2</v>
      </c>
      <c r="J5" s="47">
        <f xml:space="preserve"> 0.0017*J4 - 0.1657</f>
        <v>-2.9700000000000004E-2</v>
      </c>
      <c r="K5" s="47">
        <f xml:space="preserve"> 0.0017*K4 - 0.1657</f>
        <v>-1.2699999999999989E-2</v>
      </c>
      <c r="L5" s="47">
        <f xml:space="preserve"> 0.0017*L4 - 0.1657</f>
        <v>4.2999999999999983E-3</v>
      </c>
      <c r="M5" s="10"/>
    </row>
    <row r="6" spans="2:13" x14ac:dyDescent="0.25">
      <c r="B6" s="8"/>
      <c r="C6" s="79"/>
      <c r="D6" s="2">
        <v>40</v>
      </c>
      <c r="E6" s="46">
        <v>-8.2500000000000004E-2</v>
      </c>
      <c r="F6" s="46">
        <v>-6.1100000000000002E-2</v>
      </c>
      <c r="G6" s="46">
        <v>-4.8800000000000003E-2</v>
      </c>
      <c r="H6" s="46">
        <v>-3.8800000000000001E-2</v>
      </c>
      <c r="I6" s="46">
        <v>-1.66E-2</v>
      </c>
      <c r="J6" s="46">
        <v>-5.0000000000000001E-3</v>
      </c>
      <c r="K6" s="47">
        <f xml:space="preserve"> 0.0015*K4 - 0.1256</f>
        <v>9.4000000000000195E-3</v>
      </c>
      <c r="L6" s="47">
        <f xml:space="preserve"> 0.0015*L4 - 0.1256</f>
        <v>2.4400000000000005E-2</v>
      </c>
      <c r="M6" s="10"/>
    </row>
    <row r="7" spans="2:13" x14ac:dyDescent="0.25">
      <c r="B7" s="8"/>
      <c r="C7" s="79"/>
      <c r="D7" s="2">
        <v>50</v>
      </c>
      <c r="E7" s="46">
        <v>-7.3300000000000004E-2</v>
      </c>
      <c r="F7" s="46">
        <v>-4.5999999999999999E-2</v>
      </c>
      <c r="G7" s="46">
        <v>-2.1999999999999999E-2</v>
      </c>
      <c r="H7" s="46">
        <v>0</v>
      </c>
      <c r="I7" s="46">
        <v>1.2800000000000001E-2</v>
      </c>
      <c r="J7" s="46">
        <v>2.9399999999999999E-2</v>
      </c>
      <c r="K7" s="47">
        <f xml:space="preserve"> 0.002*K4 - 0.1284</f>
        <v>5.1600000000000007E-2</v>
      </c>
      <c r="L7" s="47">
        <f xml:space="preserve"> 0.002*L4 - 0.1284</f>
        <v>7.1600000000000025E-2</v>
      </c>
      <c r="M7" s="10"/>
    </row>
    <row r="8" spans="2:13" x14ac:dyDescent="0.25">
      <c r="B8" s="8"/>
      <c r="C8" s="79"/>
      <c r="D8" s="2">
        <v>60</v>
      </c>
      <c r="E8" s="47">
        <f>0.0023*E4 - 0.1176</f>
        <v>-4.859999999999999E-2</v>
      </c>
      <c r="F8" s="47">
        <f>0.0023*F4 - 0.1176</f>
        <v>-2.5599999999999998E-2</v>
      </c>
      <c r="G8" s="46">
        <v>-7.6E-3</v>
      </c>
      <c r="H8" s="46">
        <v>1.44E-2</v>
      </c>
      <c r="I8" s="46">
        <v>3.6600000000000001E-2</v>
      </c>
      <c r="J8" s="46">
        <v>5.9900000000000002E-2</v>
      </c>
      <c r="K8" s="51">
        <v>0.08</v>
      </c>
      <c r="L8" s="51">
        <v>0.1</v>
      </c>
      <c r="M8" s="10"/>
    </row>
    <row r="9" spans="2:13" x14ac:dyDescent="0.25">
      <c r="B9" s="8"/>
      <c r="C9" s="79"/>
      <c r="D9" s="2">
        <v>70</v>
      </c>
      <c r="E9" s="49">
        <v>-3.5000000000000003E-2</v>
      </c>
      <c r="F9" s="44">
        <v>-0.01</v>
      </c>
      <c r="G9" s="49">
        <v>0</v>
      </c>
      <c r="H9" s="46">
        <v>1.6E-2</v>
      </c>
      <c r="I9" s="46">
        <v>4.2700000000000002E-2</v>
      </c>
      <c r="J9" s="46">
        <v>6.0999999999999999E-2</v>
      </c>
      <c r="K9" s="50">
        <v>8.5000000000000006E-2</v>
      </c>
      <c r="L9" s="51">
        <v>0.105</v>
      </c>
      <c r="M9" s="10"/>
    </row>
    <row r="10" spans="2:13" x14ac:dyDescent="0.25">
      <c r="B10" s="8"/>
      <c r="C10" s="79"/>
      <c r="D10" s="2">
        <v>80</v>
      </c>
      <c r="E10" s="49">
        <v>-2.8000000000000001E-2</v>
      </c>
      <c r="F10" s="49">
        <v>0</v>
      </c>
      <c r="G10" s="49">
        <v>0.01</v>
      </c>
      <c r="H10" s="51">
        <v>0.02</v>
      </c>
      <c r="I10" s="51">
        <v>0.05</v>
      </c>
      <c r="J10" s="51">
        <v>6.5000000000000002E-2</v>
      </c>
      <c r="K10" s="46">
        <v>8.2400000000000001E-2</v>
      </c>
      <c r="L10" s="46">
        <v>9.7000000000000003E-2</v>
      </c>
      <c r="M10" s="10"/>
    </row>
    <row r="11" spans="2:13" x14ac:dyDescent="0.25">
      <c r="B11" s="8"/>
      <c r="C11" s="79"/>
      <c r="D11" s="2">
        <v>90</v>
      </c>
      <c r="E11" s="49">
        <v>-2.5000000000000001E-2</v>
      </c>
      <c r="F11" s="49">
        <v>5.0000000000000001E-3</v>
      </c>
      <c r="G11" s="49">
        <v>1.2E-2</v>
      </c>
      <c r="H11" s="51">
        <v>2.1999999999999999E-2</v>
      </c>
      <c r="I11" s="51">
        <v>5.5E-2</v>
      </c>
      <c r="J11" s="51">
        <v>7.0000000000000007E-2</v>
      </c>
      <c r="K11" s="46">
        <v>7.8600000000000003E-2</v>
      </c>
      <c r="L11" s="51">
        <v>0.09</v>
      </c>
      <c r="M11" s="10"/>
    </row>
    <row r="12" spans="2:13" ht="15.75" thickBot="1" x14ac:dyDescent="0.3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</row>
    <row r="14" spans="2:13" ht="15.75" thickBot="1" x14ac:dyDescent="0.3"/>
    <row r="15" spans="2:13" ht="15.75" thickBot="1" x14ac:dyDescent="0.3">
      <c r="B15" s="80" t="s">
        <v>68</v>
      </c>
      <c r="C15" s="81"/>
      <c r="D15" s="82"/>
      <c r="E15" s="45">
        <v>2200</v>
      </c>
      <c r="F15" t="s">
        <v>90</v>
      </c>
    </row>
    <row r="16" spans="2:13" ht="15.75" thickBot="1" x14ac:dyDescent="0.3"/>
    <row r="17" spans="2:13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2:13" x14ac:dyDescent="0.25">
      <c r="B18" s="8"/>
      <c r="C18" s="9"/>
      <c r="D18" s="83" t="s">
        <v>69</v>
      </c>
      <c r="E18" s="83"/>
      <c r="F18" s="83"/>
      <c r="G18" s="83"/>
      <c r="H18" s="83"/>
      <c r="I18" s="83"/>
      <c r="J18" s="83"/>
      <c r="K18" s="83"/>
      <c r="L18" s="83"/>
      <c r="M18" s="10"/>
    </row>
    <row r="19" spans="2:13" x14ac:dyDescent="0.25">
      <c r="B19" s="8"/>
      <c r="C19" s="2"/>
      <c r="D19" s="2" t="s">
        <v>66</v>
      </c>
      <c r="E19" s="2">
        <v>30</v>
      </c>
      <c r="F19" s="2">
        <v>40</v>
      </c>
      <c r="G19" s="2">
        <v>50</v>
      </c>
      <c r="H19" s="2">
        <v>60</v>
      </c>
      <c r="I19" s="2">
        <v>70</v>
      </c>
      <c r="J19" s="2">
        <v>80</v>
      </c>
      <c r="K19" s="2">
        <v>90</v>
      </c>
      <c r="L19" s="2">
        <v>100</v>
      </c>
      <c r="M19" s="10"/>
    </row>
    <row r="20" spans="2:13" x14ac:dyDescent="0.25">
      <c r="B20" s="8"/>
      <c r="C20" s="79" t="s">
        <v>67</v>
      </c>
      <c r="D20" s="2">
        <v>30</v>
      </c>
      <c r="E20" s="48">
        <f>(1+E5)*$E$15</f>
        <v>1937.98</v>
      </c>
      <c r="F20" s="48">
        <f t="shared" ref="F20:L20" si="0">(1+F5)*$E$15</f>
        <v>1989.02</v>
      </c>
      <c r="G20" s="48">
        <f t="shared" si="0"/>
        <v>2035.66</v>
      </c>
      <c r="H20" s="48">
        <f t="shared" si="0"/>
        <v>2055.2400000000002</v>
      </c>
      <c r="I20" s="48">
        <f t="shared" si="0"/>
        <v>2091.3200000000002</v>
      </c>
      <c r="J20" s="48">
        <f t="shared" si="0"/>
        <v>2134.66</v>
      </c>
      <c r="K20" s="48">
        <f t="shared" si="0"/>
        <v>2172.06</v>
      </c>
      <c r="L20" s="48">
        <f t="shared" si="0"/>
        <v>2209.46</v>
      </c>
      <c r="M20" s="10"/>
    </row>
    <row r="21" spans="2:13" x14ac:dyDescent="0.25">
      <c r="B21" s="8"/>
      <c r="C21" s="79"/>
      <c r="D21" s="2">
        <v>40</v>
      </c>
      <c r="E21" s="48">
        <f t="shared" ref="E21:L26" si="1">(1+E6)*$E$15</f>
        <v>2018.5</v>
      </c>
      <c r="F21" s="48">
        <f t="shared" si="1"/>
        <v>2065.58</v>
      </c>
      <c r="G21" s="48">
        <f t="shared" si="1"/>
        <v>2092.6400000000003</v>
      </c>
      <c r="H21" s="48">
        <f t="shared" si="1"/>
        <v>2114.6400000000003</v>
      </c>
      <c r="I21" s="48">
        <f t="shared" si="1"/>
        <v>2163.48</v>
      </c>
      <c r="J21" s="48">
        <f t="shared" si="1"/>
        <v>2189</v>
      </c>
      <c r="K21" s="48">
        <f t="shared" si="1"/>
        <v>2220.6800000000003</v>
      </c>
      <c r="L21" s="48">
        <f t="shared" si="1"/>
        <v>2253.6799999999998</v>
      </c>
      <c r="M21" s="10"/>
    </row>
    <row r="22" spans="2:13" x14ac:dyDescent="0.25">
      <c r="B22" s="8"/>
      <c r="C22" s="79"/>
      <c r="D22" s="2">
        <v>50</v>
      </c>
      <c r="E22" s="48">
        <f t="shared" si="1"/>
        <v>2038.74</v>
      </c>
      <c r="F22" s="48">
        <f t="shared" si="1"/>
        <v>2098.7999999999997</v>
      </c>
      <c r="G22" s="48">
        <f t="shared" si="1"/>
        <v>2151.6</v>
      </c>
      <c r="H22" s="48">
        <f t="shared" si="1"/>
        <v>2200</v>
      </c>
      <c r="I22" s="48">
        <f t="shared" si="1"/>
        <v>2228.16</v>
      </c>
      <c r="J22" s="48">
        <f t="shared" si="1"/>
        <v>2264.6800000000003</v>
      </c>
      <c r="K22" s="48">
        <f t="shared" si="1"/>
        <v>2313.52</v>
      </c>
      <c r="L22" s="48">
        <f t="shared" si="1"/>
        <v>2357.5200000000004</v>
      </c>
      <c r="M22" s="10"/>
    </row>
    <row r="23" spans="2:13" x14ac:dyDescent="0.25">
      <c r="B23" s="8"/>
      <c r="C23" s="79"/>
      <c r="D23" s="2">
        <v>60</v>
      </c>
      <c r="E23" s="48">
        <f t="shared" si="1"/>
        <v>2093.08</v>
      </c>
      <c r="F23" s="48">
        <f t="shared" si="1"/>
        <v>2143.6800000000003</v>
      </c>
      <c r="G23" s="48">
        <f t="shared" si="1"/>
        <v>2183.2799999999997</v>
      </c>
      <c r="H23" s="48">
        <f t="shared" si="1"/>
        <v>2231.6799999999998</v>
      </c>
      <c r="I23" s="48">
        <f t="shared" si="1"/>
        <v>2280.52</v>
      </c>
      <c r="J23" s="48">
        <f t="shared" si="1"/>
        <v>2331.7800000000002</v>
      </c>
      <c r="K23" s="48">
        <f t="shared" si="1"/>
        <v>2376</v>
      </c>
      <c r="L23" s="48">
        <f t="shared" si="1"/>
        <v>2420</v>
      </c>
      <c r="M23" s="10"/>
    </row>
    <row r="24" spans="2:13" x14ac:dyDescent="0.25">
      <c r="B24" s="8"/>
      <c r="C24" s="79"/>
      <c r="D24" s="2">
        <v>70</v>
      </c>
      <c r="E24" s="48">
        <f>(1+E10)*$E$15</f>
        <v>2138.4</v>
      </c>
      <c r="F24" s="48">
        <f t="shared" si="1"/>
        <v>2178</v>
      </c>
      <c r="G24" s="48">
        <f t="shared" si="1"/>
        <v>2200</v>
      </c>
      <c r="H24" s="48">
        <f t="shared" si="1"/>
        <v>2235.1999999999998</v>
      </c>
      <c r="I24" s="48">
        <f t="shared" si="1"/>
        <v>2293.94</v>
      </c>
      <c r="J24" s="48">
        <f t="shared" si="1"/>
        <v>2334.1999999999998</v>
      </c>
      <c r="K24" s="48">
        <f t="shared" si="1"/>
        <v>2387</v>
      </c>
      <c r="L24" s="48">
        <f t="shared" si="1"/>
        <v>2431</v>
      </c>
      <c r="M24" s="10"/>
    </row>
    <row r="25" spans="2:13" x14ac:dyDescent="0.25">
      <c r="B25" s="8"/>
      <c r="C25" s="79"/>
      <c r="D25" s="2">
        <v>80</v>
      </c>
      <c r="E25" s="48">
        <f>(1+E11)*$E$15</f>
        <v>2145</v>
      </c>
      <c r="F25" s="48">
        <f t="shared" si="1"/>
        <v>2200</v>
      </c>
      <c r="G25" s="48">
        <f t="shared" si="1"/>
        <v>2222</v>
      </c>
      <c r="H25" s="48">
        <f t="shared" si="1"/>
        <v>2244</v>
      </c>
      <c r="I25" s="48">
        <f t="shared" si="1"/>
        <v>2310</v>
      </c>
      <c r="J25" s="48">
        <f t="shared" si="1"/>
        <v>2343</v>
      </c>
      <c r="K25" s="48">
        <f t="shared" si="1"/>
        <v>2381.2800000000002</v>
      </c>
      <c r="L25" s="48">
        <f t="shared" si="1"/>
        <v>2413.4</v>
      </c>
      <c r="M25" s="10"/>
    </row>
    <row r="26" spans="2:13" x14ac:dyDescent="0.25">
      <c r="B26" s="8"/>
      <c r="C26" s="79"/>
      <c r="D26" s="2">
        <v>90</v>
      </c>
      <c r="E26" s="48">
        <f t="shared" si="1"/>
        <v>2145</v>
      </c>
      <c r="F26" s="48">
        <f t="shared" si="1"/>
        <v>2210.9999999999995</v>
      </c>
      <c r="G26" s="48">
        <f t="shared" si="1"/>
        <v>2226.4</v>
      </c>
      <c r="H26" s="48">
        <f t="shared" si="1"/>
        <v>2248.4</v>
      </c>
      <c r="I26" s="48">
        <f t="shared" si="1"/>
        <v>2321</v>
      </c>
      <c r="J26" s="48">
        <f t="shared" si="1"/>
        <v>2354</v>
      </c>
      <c r="K26" s="48">
        <f t="shared" si="1"/>
        <v>2372.92</v>
      </c>
      <c r="L26" s="48">
        <f t="shared" si="1"/>
        <v>2398</v>
      </c>
      <c r="M26" s="10"/>
    </row>
    <row r="27" spans="2:13" ht="15.75" thickBot="1" x14ac:dyDescent="0.3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</row>
  </sheetData>
  <mergeCells count="5">
    <mergeCell ref="C5:C11"/>
    <mergeCell ref="D3:L3"/>
    <mergeCell ref="B15:D15"/>
    <mergeCell ref="D18:L18"/>
    <mergeCell ref="C20:C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Kinematics</vt:lpstr>
      <vt:lpstr>Braking_Simulations</vt:lpstr>
      <vt:lpstr>Chicane_R100_Sim_Soft</vt:lpstr>
      <vt:lpstr>Chicane_R100_Sim_Stiff</vt:lpstr>
      <vt:lpstr>Lambo_AeroMap_Front</vt:lpstr>
      <vt:lpstr>Lambo_AeroMap_Rear</vt:lpstr>
      <vt:lpstr>Lambo_AeroMap_Drag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2019-07-02T14:21:01Z</dcterms:created>
  <dcterms:modified xsi:type="dcterms:W3CDTF">2019-11-04T10:26:17Z</dcterms:modified>
</cp:coreProperties>
</file>