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430"/>
  <workbookPr filterPrivacy="1" codeName="ThisWorkbook" defaultThemeVersion="124226"/>
  <xr:revisionPtr revIDLastSave="0" documentId="13_ncr:1_{B791B8B2-3485-428A-9384-31D670AEF132}" xr6:coauthVersionLast="45" xr6:coauthVersionMax="45" xr10:uidLastSave="{00000000-0000-0000-0000-000000000000}"/>
  <bookViews>
    <workbookView minimized="1" xWindow="2940" yWindow="765" windowWidth="23250" windowHeight="14235" tabRatio="808" firstSheet="1" activeTab="9" xr2:uid="{00000000-000D-0000-FFFF-FFFF00000000}"/>
  </bookViews>
  <sheets>
    <sheet name="Setup-Sheet" sheetId="77" r:id="rId1"/>
    <sheet name="front motion ratio" sheetId="23" r:id="rId2"/>
    <sheet name="front wheel travel" sheetId="24" r:id="rId3"/>
    <sheet name="front spring" sheetId="25" r:id="rId4"/>
    <sheet name="front damper" sheetId="26" r:id="rId5"/>
    <sheet name="rear motion ratio" sheetId="1" r:id="rId6"/>
    <sheet name="rear wheel travel" sheetId="8" r:id="rId7"/>
    <sheet name="rear spring" sheetId="4" r:id="rId8"/>
    <sheet name="rear damper" sheetId="6" r:id="rId9"/>
    <sheet name="Roll Stiffness" sheetId="73" r:id="rId10"/>
    <sheet name="Target Roll Stiffness" sheetId="76" r:id="rId11"/>
    <sheet name="spring" sheetId="72" r:id="rId12"/>
    <sheet name="P45 wheel travel" sheetId="28" r:id="rId13"/>
  </sheets>
  <externalReferences>
    <externalReference r:id="rId1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1" i="73" l="1"/>
  <c r="C20" i="73"/>
  <c r="C24" i="23"/>
  <c r="C10" i="1"/>
  <c r="B7" i="72" l="1"/>
  <c r="B4" i="72"/>
  <c r="E22" i="77" l="1"/>
  <c r="E20" i="77"/>
  <c r="E19" i="77"/>
  <c r="E18" i="77"/>
  <c r="E12" i="77"/>
  <c r="E10" i="77"/>
  <c r="E9" i="77"/>
  <c r="E8" i="77"/>
  <c r="C10" i="76" l="1"/>
  <c r="C9" i="76"/>
  <c r="C8" i="76"/>
  <c r="C7" i="76"/>
  <c r="C6" i="76"/>
  <c r="C2" i="76"/>
  <c r="C5" i="76"/>
  <c r="C4" i="76"/>
  <c r="C3" i="76"/>
  <c r="C11" i="76" l="1"/>
  <c r="F15" i="76"/>
  <c r="H15" i="76" s="1"/>
  <c r="J15" i="76" s="1"/>
  <c r="G15" i="76"/>
  <c r="F21" i="76"/>
  <c r="H21" i="76" s="1"/>
  <c r="J21" i="76" s="1"/>
  <c r="G21" i="76"/>
  <c r="I21" i="76" s="1"/>
  <c r="I15" i="76" l="1"/>
  <c r="K15" i="76" s="1"/>
  <c r="L15" i="76" s="1"/>
  <c r="K21" i="76"/>
  <c r="L21" i="76" s="1"/>
  <c r="C9" i="23"/>
  <c r="C10" i="23" l="1"/>
  <c r="C19" i="23" s="1"/>
  <c r="C12" i="76"/>
  <c r="G11" i="76"/>
  <c r="F11" i="76"/>
  <c r="H11" i="76" s="1"/>
  <c r="E4" i="76"/>
  <c r="G4" i="76" s="1"/>
  <c r="G3" i="76"/>
  <c r="F3" i="76"/>
  <c r="H3" i="76" s="1"/>
  <c r="M15" i="76" l="1"/>
  <c r="M21" i="76"/>
  <c r="F4" i="76"/>
  <c r="H4" i="76" s="1"/>
  <c r="E5" i="76"/>
  <c r="I3" i="76"/>
  <c r="I11" i="76"/>
  <c r="J11" i="76"/>
  <c r="J3" i="76"/>
  <c r="I4" i="76"/>
  <c r="K3" i="76" l="1"/>
  <c r="L3" i="76" s="1"/>
  <c r="K11" i="76"/>
  <c r="L11" i="76" s="1"/>
  <c r="J4" i="76"/>
  <c r="K4" i="76" s="1"/>
  <c r="L4" i="76" s="1"/>
  <c r="M11" i="76"/>
  <c r="M3" i="76"/>
  <c r="G5" i="76"/>
  <c r="I5" i="76" s="1"/>
  <c r="F5" i="76"/>
  <c r="E6" i="76"/>
  <c r="M4" i="76" l="1"/>
  <c r="G6" i="76"/>
  <c r="I6" i="76" s="1"/>
  <c r="E7" i="76"/>
  <c r="F6" i="76"/>
  <c r="H5" i="76"/>
  <c r="J5" i="76" s="1"/>
  <c r="K5" i="76" s="1"/>
  <c r="L5" i="76" s="1"/>
  <c r="M5" i="76" l="1"/>
  <c r="H6" i="76"/>
  <c r="J6" i="76" s="1"/>
  <c r="K6" i="76" s="1"/>
  <c r="L6" i="76" s="1"/>
  <c r="E8" i="76"/>
  <c r="G7" i="76"/>
  <c r="I7" i="76" s="1"/>
  <c r="F7" i="76"/>
  <c r="M6" i="76" l="1"/>
  <c r="E9" i="76"/>
  <c r="F8" i="76"/>
  <c r="G8" i="76"/>
  <c r="I8" i="76" s="1"/>
  <c r="H7" i="76"/>
  <c r="J7" i="76" s="1"/>
  <c r="K7" i="76" l="1"/>
  <c r="L7" i="76" s="1"/>
  <c r="M7" i="76"/>
  <c r="H8" i="76"/>
  <c r="J8" i="76" s="1"/>
  <c r="K8" i="76" s="1"/>
  <c r="L8" i="76" s="1"/>
  <c r="E10" i="76"/>
  <c r="F9" i="76"/>
  <c r="G9" i="76"/>
  <c r="I9" i="76" s="1"/>
  <c r="M8" i="76" l="1"/>
  <c r="H9" i="76"/>
  <c r="J9" i="76" s="1"/>
  <c r="F10" i="76"/>
  <c r="G10" i="76"/>
  <c r="I10" i="76" s="1"/>
  <c r="E12" i="76"/>
  <c r="E13" i="76" s="1"/>
  <c r="K9" i="76" l="1"/>
  <c r="L9" i="76" s="1"/>
  <c r="M9" i="76"/>
  <c r="G12" i="76"/>
  <c r="I12" i="76" s="1"/>
  <c r="F12" i="76"/>
  <c r="H10" i="76"/>
  <c r="J10" i="76" s="1"/>
  <c r="K10" i="76" l="1"/>
  <c r="L10" i="76" s="1"/>
  <c r="M10" i="76"/>
  <c r="H12" i="76"/>
  <c r="J12" i="76" s="1"/>
  <c r="K12" i="76" s="1"/>
  <c r="L12" i="76" s="1"/>
  <c r="E14" i="76"/>
  <c r="G13" i="76"/>
  <c r="I13" i="76" s="1"/>
  <c r="F13" i="76"/>
  <c r="G14" i="76" l="1"/>
  <c r="I14" i="76" s="1"/>
  <c r="E16" i="76"/>
  <c r="F14" i="76"/>
  <c r="H13" i="76"/>
  <c r="J13" i="76" s="1"/>
  <c r="K13" i="76" s="1"/>
  <c r="L13" i="76" s="1"/>
  <c r="M12" i="76"/>
  <c r="E17" i="76" l="1"/>
  <c r="F16" i="76"/>
  <c r="G16" i="76"/>
  <c r="I16" i="76" s="1"/>
  <c r="H14" i="76"/>
  <c r="J14" i="76" s="1"/>
  <c r="K14" i="76" s="1"/>
  <c r="L14" i="76" s="1"/>
  <c r="M13" i="76"/>
  <c r="M14" i="76" l="1"/>
  <c r="H16" i="76"/>
  <c r="J16" i="76" s="1"/>
  <c r="E18" i="76"/>
  <c r="G17" i="76"/>
  <c r="I17" i="76" s="1"/>
  <c r="F17" i="76"/>
  <c r="K16" i="76" l="1"/>
  <c r="L16" i="76" s="1"/>
  <c r="M16" i="76"/>
  <c r="H17" i="76"/>
  <c r="J17" i="76" s="1"/>
  <c r="K17" i="76" s="1"/>
  <c r="L17" i="76" s="1"/>
  <c r="F18" i="76"/>
  <c r="G18" i="76"/>
  <c r="I18" i="76" s="1"/>
  <c r="E19" i="76"/>
  <c r="H18" i="76" l="1"/>
  <c r="J18" i="76" s="1"/>
  <c r="K18" i="76" s="1"/>
  <c r="L18" i="76" s="1"/>
  <c r="M17" i="76"/>
  <c r="G19" i="76"/>
  <c r="I19" i="76" s="1"/>
  <c r="E20" i="76"/>
  <c r="F19" i="76"/>
  <c r="H19" i="76" l="1"/>
  <c r="J19" i="76" s="1"/>
  <c r="K19" i="76" s="1"/>
  <c r="L19" i="76" s="1"/>
  <c r="M18" i="76"/>
  <c r="E22" i="76"/>
  <c r="G20" i="76"/>
  <c r="I20" i="76" s="1"/>
  <c r="F20" i="76"/>
  <c r="H20" i="76" l="1"/>
  <c r="J20" i="76" s="1"/>
  <c r="G22" i="76"/>
  <c r="I22" i="76" s="1"/>
  <c r="E23" i="76"/>
  <c r="F22" i="76"/>
  <c r="M19" i="76"/>
  <c r="K20" i="76" l="1"/>
  <c r="L20" i="76" s="1"/>
  <c r="M20" i="76"/>
  <c r="H22" i="76"/>
  <c r="J22" i="76" s="1"/>
  <c r="K22" i="76" s="1"/>
  <c r="L22" i="76" s="1"/>
  <c r="G23" i="76"/>
  <c r="E24" i="76"/>
  <c r="F23" i="76"/>
  <c r="I23" i="76"/>
  <c r="H23" i="76" l="1"/>
  <c r="J23" i="76" s="1"/>
  <c r="K23" i="76" s="1"/>
  <c r="L23" i="76" s="1"/>
  <c r="G24" i="76"/>
  <c r="I24" i="76" s="1"/>
  <c r="E25" i="76"/>
  <c r="F24" i="76"/>
  <c r="M22" i="76"/>
  <c r="M23" i="76" l="1"/>
  <c r="H24" i="76"/>
  <c r="J24" i="76" s="1"/>
  <c r="K24" i="76" s="1"/>
  <c r="L24" i="76" s="1"/>
  <c r="E26" i="76"/>
  <c r="F25" i="76"/>
  <c r="G25" i="76"/>
  <c r="I25" i="76" s="1"/>
  <c r="M24" i="76" l="1"/>
  <c r="H25" i="76"/>
  <c r="J25" i="76" s="1"/>
  <c r="K25" i="76" s="1"/>
  <c r="L25" i="76" s="1"/>
  <c r="G26" i="76"/>
  <c r="I26" i="76" s="1"/>
  <c r="F26" i="76"/>
  <c r="M25" i="76" l="1"/>
  <c r="H26" i="76"/>
  <c r="J26" i="76" s="1"/>
  <c r="K26" i="76" s="1"/>
  <c r="L26" i="76" s="1"/>
  <c r="M26" i="76" l="1"/>
  <c r="C19" i="73" l="1"/>
  <c r="C18" i="73"/>
  <c r="C23" i="73"/>
  <c r="C22" i="73"/>
  <c r="C9" i="73"/>
  <c r="C11" i="73" s="1"/>
  <c r="C8" i="73"/>
  <c r="F23" i="73" l="1"/>
  <c r="C10" i="73"/>
  <c r="F10" i="73" s="1"/>
  <c r="C12" i="73" l="1"/>
  <c r="C3" i="1" l="1"/>
  <c r="C11" i="23"/>
  <c r="J26" i="6" l="1"/>
  <c r="D7" i="26" l="1"/>
  <c r="D30" i="26" l="1"/>
  <c r="L4" i="4" l="1"/>
  <c r="H13" i="6" l="1"/>
  <c r="K26" i="26"/>
  <c r="F30" i="26" l="1"/>
  <c r="E30" i="26"/>
  <c r="C30" i="26"/>
  <c r="I13" i="26"/>
  <c r="F23" i="6"/>
  <c r="N4" i="25"/>
  <c r="M4" i="25"/>
  <c r="H13" i="26" s="1"/>
  <c r="L4" i="25"/>
  <c r="N4" i="4"/>
  <c r="M4" i="4"/>
  <c r="G13" i="6" s="1"/>
  <c r="F13" i="6" s="1"/>
  <c r="C2" i="8"/>
  <c r="G13" i="26" l="1"/>
  <c r="B6" i="72"/>
  <c r="D5" i="72"/>
  <c r="B16" i="72"/>
  <c r="B17" i="72"/>
  <c r="B19" i="72" s="1"/>
  <c r="B15" i="72"/>
  <c r="B11" i="72" l="1"/>
  <c r="B10" i="72"/>
  <c r="B20" i="72"/>
  <c r="C30" i="6" l="1"/>
  <c r="C24" i="1"/>
  <c r="C7" i="8"/>
  <c r="C7" i="1"/>
  <c r="C6" i="1"/>
  <c r="C7" i="24"/>
  <c r="C6" i="8" s="1"/>
  <c r="B3" i="25" l="1"/>
  <c r="E9" i="28"/>
  <c r="C9" i="28"/>
  <c r="E8" i="28"/>
  <c r="C8" i="28"/>
  <c r="G25" i="1"/>
  <c r="C25" i="1"/>
  <c r="O35" i="26"/>
  <c r="F34" i="26"/>
  <c r="E34" i="26"/>
  <c r="D34" i="26"/>
  <c r="C34" i="26"/>
  <c r="F33" i="26"/>
  <c r="E33" i="26"/>
  <c r="D33" i="26"/>
  <c r="C33" i="26"/>
  <c r="F32" i="26"/>
  <c r="E32" i="26"/>
  <c r="D32" i="26"/>
  <c r="C32" i="26"/>
  <c r="K31" i="26"/>
  <c r="F31" i="26"/>
  <c r="E31" i="26"/>
  <c r="D31" i="26"/>
  <c r="C31" i="26"/>
  <c r="K28" i="26"/>
  <c r="K27" i="26"/>
  <c r="E25" i="26"/>
  <c r="E24" i="26"/>
  <c r="K23" i="26"/>
  <c r="E22" i="26"/>
  <c r="D16" i="26"/>
  <c r="K25" i="26" s="1"/>
  <c r="F13" i="26"/>
  <c r="F4" i="25"/>
  <c r="K4" i="25" s="1"/>
  <c r="E16" i="24"/>
  <c r="J16" i="24" s="1"/>
  <c r="D15" i="24"/>
  <c r="C9" i="24"/>
  <c r="H8" i="24"/>
  <c r="I5" i="24"/>
  <c r="I6" i="24" s="1"/>
  <c r="C3" i="24"/>
  <c r="C25" i="23"/>
  <c r="G25" i="23"/>
  <c r="G24" i="23"/>
  <c r="G23" i="23"/>
  <c r="C23" i="23"/>
  <c r="L10" i="23"/>
  <c r="G9" i="23"/>
  <c r="G10" i="23" s="1"/>
  <c r="C25" i="73" l="1"/>
  <c r="C28" i="73" s="1"/>
  <c r="C35" i="73" s="1"/>
  <c r="C24" i="73"/>
  <c r="C27" i="73" s="1"/>
  <c r="O27" i="26"/>
  <c r="O29" i="26" s="1"/>
  <c r="O16" i="25"/>
  <c r="O24" i="25"/>
  <c r="O32" i="25"/>
  <c r="O40" i="25"/>
  <c r="O48" i="25"/>
  <c r="O56" i="25"/>
  <c r="O64" i="25"/>
  <c r="O72" i="25"/>
  <c r="O80" i="25"/>
  <c r="O88" i="25"/>
  <c r="O96" i="25"/>
  <c r="O104" i="25"/>
  <c r="O112" i="25"/>
  <c r="O120" i="25"/>
  <c r="O128" i="25"/>
  <c r="O136" i="25"/>
  <c r="O144" i="25"/>
  <c r="O152" i="25"/>
  <c r="O160" i="25"/>
  <c r="O11" i="25"/>
  <c r="O17" i="25"/>
  <c r="O25" i="25"/>
  <c r="O33" i="25"/>
  <c r="O41" i="25"/>
  <c r="O49" i="25"/>
  <c r="O57" i="25"/>
  <c r="O65" i="25"/>
  <c r="O73" i="25"/>
  <c r="O81" i="25"/>
  <c r="O89" i="25"/>
  <c r="O97" i="25"/>
  <c r="O105" i="25"/>
  <c r="O113" i="25"/>
  <c r="O121" i="25"/>
  <c r="O129" i="25"/>
  <c r="O137" i="25"/>
  <c r="O145" i="25"/>
  <c r="O153" i="25"/>
  <c r="O161" i="25"/>
  <c r="O18" i="25"/>
  <c r="O26" i="25"/>
  <c r="O34" i="25"/>
  <c r="O42" i="25"/>
  <c r="O50" i="25"/>
  <c r="O58" i="25"/>
  <c r="O66" i="25"/>
  <c r="O74" i="25"/>
  <c r="O82" i="25"/>
  <c r="O90" i="25"/>
  <c r="O98" i="25"/>
  <c r="O106" i="25"/>
  <c r="O114" i="25"/>
  <c r="O122" i="25"/>
  <c r="O130" i="25"/>
  <c r="O138" i="25"/>
  <c r="O146" i="25"/>
  <c r="O154" i="25"/>
  <c r="O162" i="25"/>
  <c r="O19" i="25"/>
  <c r="O27" i="25"/>
  <c r="O35" i="25"/>
  <c r="O43" i="25"/>
  <c r="O51" i="25"/>
  <c r="O59" i="25"/>
  <c r="O67" i="25"/>
  <c r="O75" i="25"/>
  <c r="O83" i="25"/>
  <c r="O91" i="25"/>
  <c r="O99" i="25"/>
  <c r="O107" i="25"/>
  <c r="O115" i="25"/>
  <c r="O123" i="25"/>
  <c r="O131" i="25"/>
  <c r="O139" i="25"/>
  <c r="O147" i="25"/>
  <c r="O155" i="25"/>
  <c r="O163" i="25"/>
  <c r="O12" i="25"/>
  <c r="O20" i="25"/>
  <c r="O28" i="25"/>
  <c r="O36" i="25"/>
  <c r="O44" i="25"/>
  <c r="O52" i="25"/>
  <c r="O60" i="25"/>
  <c r="O68" i="25"/>
  <c r="O76" i="25"/>
  <c r="O84" i="25"/>
  <c r="O92" i="25"/>
  <c r="O100" i="25"/>
  <c r="O108" i="25"/>
  <c r="O116" i="25"/>
  <c r="O124" i="25"/>
  <c r="O132" i="25"/>
  <c r="O140" i="25"/>
  <c r="O148" i="25"/>
  <c r="O156" i="25"/>
  <c r="O164" i="25"/>
  <c r="O15" i="25"/>
  <c r="O31" i="25"/>
  <c r="O55" i="25"/>
  <c r="O87" i="25"/>
  <c r="O119" i="25"/>
  <c r="O143" i="25"/>
  <c r="O13" i="25"/>
  <c r="O21" i="25"/>
  <c r="O29" i="25"/>
  <c r="O37" i="25"/>
  <c r="O45" i="25"/>
  <c r="O53" i="25"/>
  <c r="O61" i="25"/>
  <c r="O69" i="25"/>
  <c r="O77" i="25"/>
  <c r="O85" i="25"/>
  <c r="O93" i="25"/>
  <c r="O101" i="25"/>
  <c r="O109" i="25"/>
  <c r="O117" i="25"/>
  <c r="O125" i="25"/>
  <c r="O133" i="25"/>
  <c r="O141" i="25"/>
  <c r="O149" i="25"/>
  <c r="O157" i="25"/>
  <c r="O165" i="25"/>
  <c r="O23" i="25"/>
  <c r="O39" i="25"/>
  <c r="O63" i="25"/>
  <c r="O79" i="25"/>
  <c r="O103" i="25"/>
  <c r="O135" i="25"/>
  <c r="O159" i="25"/>
  <c r="O14" i="25"/>
  <c r="O22" i="25"/>
  <c r="O30" i="25"/>
  <c r="O38" i="25"/>
  <c r="O46" i="25"/>
  <c r="O54" i="25"/>
  <c r="O62" i="25"/>
  <c r="O70" i="25"/>
  <c r="O78" i="25"/>
  <c r="O86" i="25"/>
  <c r="O94" i="25"/>
  <c r="O102" i="25"/>
  <c r="O110" i="25"/>
  <c r="O118" i="25"/>
  <c r="O126" i="25"/>
  <c r="O134" i="25"/>
  <c r="O142" i="25"/>
  <c r="O150" i="25"/>
  <c r="O158" i="25"/>
  <c r="O166" i="25"/>
  <c r="O47" i="25"/>
  <c r="O71" i="25"/>
  <c r="O95" i="25"/>
  <c r="O111" i="25"/>
  <c r="O127" i="25"/>
  <c r="O151" i="25"/>
  <c r="D16" i="24"/>
  <c r="F22" i="26"/>
  <c r="H24" i="26" s="1"/>
  <c r="E15" i="24"/>
  <c r="C15" i="24" s="1"/>
  <c r="I15" i="24"/>
  <c r="L11" i="23"/>
  <c r="B2" i="25"/>
  <c r="G20" i="23"/>
  <c r="G19" i="23"/>
  <c r="I16" i="24"/>
  <c r="C16" i="24"/>
  <c r="H16" i="24" s="1"/>
  <c r="G11" i="23"/>
  <c r="L12" i="23"/>
  <c r="C36" i="73" l="1"/>
  <c r="C26" i="73"/>
  <c r="C14" i="24"/>
  <c r="G4" i="25" s="1"/>
  <c r="H15" i="24"/>
  <c r="O31" i="26"/>
  <c r="O34" i="26" s="1"/>
  <c r="Q31" i="26"/>
  <c r="Q34" i="26" s="1"/>
  <c r="J15" i="24"/>
  <c r="E14" i="24"/>
  <c r="D14" i="24" s="1"/>
  <c r="C20" i="23"/>
  <c r="H14" i="24" l="1"/>
  <c r="C29" i="73"/>
  <c r="C34" i="73"/>
  <c r="C37" i="73"/>
  <c r="C40" i="73"/>
  <c r="C30" i="73"/>
  <c r="C39" i="73"/>
  <c r="R31" i="26"/>
  <c r="I14" i="24"/>
  <c r="O22" i="26"/>
  <c r="I4" i="25"/>
  <c r="J14" i="24"/>
  <c r="H166" i="25"/>
  <c r="H165" i="25"/>
  <c r="H164" i="25"/>
  <c r="H163" i="25"/>
  <c r="H162" i="25"/>
  <c r="H161" i="25"/>
  <c r="H160" i="25"/>
  <c r="H159" i="25"/>
  <c r="H158" i="25"/>
  <c r="H157" i="25"/>
  <c r="H156" i="25"/>
  <c r="H155" i="25"/>
  <c r="H154" i="25"/>
  <c r="H153" i="25"/>
  <c r="H152" i="25"/>
  <c r="H151" i="25"/>
  <c r="H150" i="25"/>
  <c r="H149" i="25"/>
  <c r="H148" i="25"/>
  <c r="H147" i="25"/>
  <c r="H146" i="25"/>
  <c r="H145" i="25"/>
  <c r="H144" i="25"/>
  <c r="H143" i="25"/>
  <c r="H142" i="25"/>
  <c r="H141" i="25"/>
  <c r="H140" i="25"/>
  <c r="H139" i="25"/>
  <c r="H138" i="25"/>
  <c r="H137" i="25"/>
  <c r="H136" i="25"/>
  <c r="H135" i="25"/>
  <c r="H134" i="25"/>
  <c r="H133" i="25"/>
  <c r="H132" i="25"/>
  <c r="H131" i="25"/>
  <c r="H130" i="25"/>
  <c r="H129" i="25"/>
  <c r="H128" i="25"/>
  <c r="H127" i="25"/>
  <c r="H126" i="25"/>
  <c r="H125" i="25"/>
  <c r="H124" i="25"/>
  <c r="H123" i="25"/>
  <c r="H122" i="25"/>
  <c r="H121" i="25"/>
  <c r="H120" i="25"/>
  <c r="H119" i="25"/>
  <c r="H118" i="25"/>
  <c r="H117" i="25"/>
  <c r="H116" i="25"/>
  <c r="H115" i="25"/>
  <c r="H114" i="25"/>
  <c r="H113" i="25"/>
  <c r="H112" i="25"/>
  <c r="H111" i="25"/>
  <c r="H110" i="25"/>
  <c r="H109" i="25"/>
  <c r="H108" i="25"/>
  <c r="H107" i="25"/>
  <c r="H106" i="25"/>
  <c r="H105" i="25"/>
  <c r="H104" i="25"/>
  <c r="H103" i="25"/>
  <c r="H102" i="25"/>
  <c r="G34" i="26" s="1"/>
  <c r="H101" i="25"/>
  <c r="H100" i="25"/>
  <c r="H99" i="25"/>
  <c r="H98" i="25"/>
  <c r="H97" i="25"/>
  <c r="H96" i="25"/>
  <c r="G33" i="26" s="1"/>
  <c r="H95" i="25"/>
  <c r="H94" i="25"/>
  <c r="H93" i="25"/>
  <c r="H92" i="25"/>
  <c r="H91" i="25"/>
  <c r="H90" i="25"/>
  <c r="H89" i="25"/>
  <c r="H88" i="25"/>
  <c r="H87" i="25"/>
  <c r="H86" i="25"/>
  <c r="H85" i="25"/>
  <c r="H84" i="25"/>
  <c r="H83" i="25"/>
  <c r="H82" i="25"/>
  <c r="H81" i="25"/>
  <c r="H80" i="25"/>
  <c r="H79" i="25"/>
  <c r="H78" i="25"/>
  <c r="H77" i="25"/>
  <c r="H76" i="25"/>
  <c r="H75" i="25"/>
  <c r="H74" i="25"/>
  <c r="H73" i="25"/>
  <c r="H72" i="25"/>
  <c r="H71" i="25"/>
  <c r="H70" i="25"/>
  <c r="G30" i="26" s="1"/>
  <c r="H69" i="25"/>
  <c r="H68" i="25"/>
  <c r="H67" i="25"/>
  <c r="H66" i="25"/>
  <c r="H65" i="25"/>
  <c r="H64" i="25"/>
  <c r="H63" i="25"/>
  <c r="H62" i="25"/>
  <c r="H61" i="25"/>
  <c r="H60" i="25"/>
  <c r="H59" i="25"/>
  <c r="H58" i="25"/>
  <c r="H57" i="25"/>
  <c r="H56" i="25"/>
  <c r="H55" i="25"/>
  <c r="H54" i="25"/>
  <c r="H53" i="25"/>
  <c r="H52" i="25"/>
  <c r="H51" i="25"/>
  <c r="H50" i="25"/>
  <c r="H49" i="25"/>
  <c r="H48" i="25"/>
  <c r="H47" i="25"/>
  <c r="H46" i="25"/>
  <c r="H45" i="25"/>
  <c r="H44" i="25"/>
  <c r="H43" i="25"/>
  <c r="H42" i="25"/>
  <c r="H41" i="25"/>
  <c r="H40" i="25"/>
  <c r="H39" i="25"/>
  <c r="H38" i="25"/>
  <c r="H37" i="25"/>
  <c r="H36" i="25"/>
  <c r="H35" i="25"/>
  <c r="H34" i="25"/>
  <c r="H33" i="25"/>
  <c r="H32" i="25"/>
  <c r="G31" i="26" s="1"/>
  <c r="H31" i="25"/>
  <c r="H30" i="25"/>
  <c r="H29" i="25"/>
  <c r="H28" i="25"/>
  <c r="H27" i="25"/>
  <c r="H26" i="25"/>
  <c r="H25" i="25"/>
  <c r="H24" i="25"/>
  <c r="H23" i="25"/>
  <c r="H22" i="25"/>
  <c r="H21" i="25"/>
  <c r="H20" i="25"/>
  <c r="H19" i="25"/>
  <c r="H18" i="25"/>
  <c r="H17" i="25"/>
  <c r="H16" i="25"/>
  <c r="H15" i="25"/>
  <c r="H14" i="25"/>
  <c r="H13" i="25"/>
  <c r="H12" i="25"/>
  <c r="H11" i="25"/>
  <c r="C41" i="73" l="1"/>
  <c r="C43" i="73"/>
  <c r="C44" i="73"/>
  <c r="G32" i="26"/>
  <c r="H26" i="26"/>
  <c r="H4" i="25"/>
  <c r="O23" i="26"/>
  <c r="F26" i="26"/>
  <c r="L13" i="25"/>
  <c r="M13" i="25" s="1"/>
  <c r="I13" i="25"/>
  <c r="P13" i="25" s="1"/>
  <c r="L15" i="25"/>
  <c r="M15" i="25" s="1"/>
  <c r="I15" i="25"/>
  <c r="P15" i="25" s="1"/>
  <c r="L17" i="25"/>
  <c r="M17" i="25" s="1"/>
  <c r="I17" i="25"/>
  <c r="P17" i="25" s="1"/>
  <c r="L21" i="25"/>
  <c r="M21" i="25" s="1"/>
  <c r="I21" i="25"/>
  <c r="P21" i="25" s="1"/>
  <c r="L23" i="25"/>
  <c r="I23" i="25"/>
  <c r="P23" i="25" s="1"/>
  <c r="L25" i="25"/>
  <c r="M25" i="25" s="1"/>
  <c r="I25" i="25"/>
  <c r="P25" i="25" s="1"/>
  <c r="L29" i="25"/>
  <c r="M29" i="25" s="1"/>
  <c r="I29" i="25"/>
  <c r="P29" i="25" s="1"/>
  <c r="L31" i="25"/>
  <c r="M31" i="25" s="1"/>
  <c r="I31" i="25"/>
  <c r="P31" i="25" s="1"/>
  <c r="L33" i="25"/>
  <c r="M33" i="25" s="1"/>
  <c r="I33" i="25"/>
  <c r="P33" i="25" s="1"/>
  <c r="L37" i="25"/>
  <c r="M37" i="25" s="1"/>
  <c r="I37" i="25"/>
  <c r="P37" i="25" s="1"/>
  <c r="L39" i="25"/>
  <c r="M39" i="25" s="1"/>
  <c r="I39" i="25"/>
  <c r="P39" i="25" s="1"/>
  <c r="L41" i="25"/>
  <c r="M41" i="25" s="1"/>
  <c r="I41" i="25"/>
  <c r="P41" i="25" s="1"/>
  <c r="L45" i="25"/>
  <c r="M45" i="25" s="1"/>
  <c r="I45" i="25"/>
  <c r="P45" i="25" s="1"/>
  <c r="L47" i="25"/>
  <c r="M47" i="25" s="1"/>
  <c r="I47" i="25"/>
  <c r="P47" i="25" s="1"/>
  <c r="L51" i="25"/>
  <c r="M51" i="25" s="1"/>
  <c r="I51" i="25"/>
  <c r="P51" i="25" s="1"/>
  <c r="L53" i="25"/>
  <c r="M53" i="25" s="1"/>
  <c r="I53" i="25"/>
  <c r="P53" i="25" s="1"/>
  <c r="L55" i="25"/>
  <c r="M55" i="25" s="1"/>
  <c r="I55" i="25"/>
  <c r="P55" i="25" s="1"/>
  <c r="L59" i="25"/>
  <c r="M59" i="25" s="1"/>
  <c r="I59" i="25"/>
  <c r="P59" i="25" s="1"/>
  <c r="L61" i="25"/>
  <c r="M61" i="25" s="1"/>
  <c r="I61" i="25"/>
  <c r="P61" i="25" s="1"/>
  <c r="L65" i="25"/>
  <c r="M65" i="25" s="1"/>
  <c r="I65" i="25"/>
  <c r="P65" i="25" s="1"/>
  <c r="L67" i="25"/>
  <c r="M67" i="25" s="1"/>
  <c r="I67" i="25"/>
  <c r="P67" i="25" s="1"/>
  <c r="L71" i="25"/>
  <c r="M71" i="25" s="1"/>
  <c r="I71" i="25"/>
  <c r="P71" i="25" s="1"/>
  <c r="L75" i="25"/>
  <c r="M75" i="25" s="1"/>
  <c r="I75" i="25"/>
  <c r="P75" i="25" s="1"/>
  <c r="L12" i="25"/>
  <c r="M12" i="25" s="1"/>
  <c r="I12" i="25"/>
  <c r="P12" i="25" s="1"/>
  <c r="L14" i="25"/>
  <c r="M14" i="25" s="1"/>
  <c r="I14" i="25"/>
  <c r="P14" i="25" s="1"/>
  <c r="L16" i="25"/>
  <c r="M16" i="25" s="1"/>
  <c r="I16" i="25"/>
  <c r="P16" i="25" s="1"/>
  <c r="L18" i="25"/>
  <c r="M18" i="25" s="1"/>
  <c r="I18" i="25"/>
  <c r="P18" i="25" s="1"/>
  <c r="L20" i="25"/>
  <c r="M20" i="25" s="1"/>
  <c r="I20" i="25"/>
  <c r="P20" i="25" s="1"/>
  <c r="L22" i="25"/>
  <c r="M22" i="25" s="1"/>
  <c r="I22" i="25"/>
  <c r="P22" i="25" s="1"/>
  <c r="L24" i="25"/>
  <c r="M24" i="25" s="1"/>
  <c r="I24" i="25"/>
  <c r="P24" i="25" s="1"/>
  <c r="L26" i="25"/>
  <c r="M26" i="25" s="1"/>
  <c r="I26" i="25"/>
  <c r="P26" i="25" s="1"/>
  <c r="L28" i="25"/>
  <c r="M28" i="25" s="1"/>
  <c r="I28" i="25"/>
  <c r="P28" i="25" s="1"/>
  <c r="L30" i="25"/>
  <c r="M30" i="25" s="1"/>
  <c r="I30" i="25"/>
  <c r="P30" i="25" s="1"/>
  <c r="L32" i="25"/>
  <c r="I32" i="25"/>
  <c r="P32" i="25" s="1"/>
  <c r="L34" i="25"/>
  <c r="M34" i="25" s="1"/>
  <c r="I34" i="25"/>
  <c r="P34" i="25" s="1"/>
  <c r="L36" i="25"/>
  <c r="M36" i="25" s="1"/>
  <c r="I36" i="25"/>
  <c r="P36" i="25" s="1"/>
  <c r="L38" i="25"/>
  <c r="M38" i="25" s="1"/>
  <c r="I38" i="25"/>
  <c r="P38" i="25" s="1"/>
  <c r="L40" i="25"/>
  <c r="M40" i="25" s="1"/>
  <c r="I40" i="25"/>
  <c r="P40" i="25" s="1"/>
  <c r="L42" i="25"/>
  <c r="M42" i="25" s="1"/>
  <c r="I42" i="25"/>
  <c r="P42" i="25" s="1"/>
  <c r="L44" i="25"/>
  <c r="M44" i="25" s="1"/>
  <c r="I44" i="25"/>
  <c r="P44" i="25" s="1"/>
  <c r="L46" i="25"/>
  <c r="M46" i="25" s="1"/>
  <c r="I46" i="25"/>
  <c r="P46" i="25" s="1"/>
  <c r="L48" i="25"/>
  <c r="M48" i="25" s="1"/>
  <c r="I48" i="25"/>
  <c r="P48" i="25" s="1"/>
  <c r="L50" i="25"/>
  <c r="M50" i="25" s="1"/>
  <c r="I50" i="25"/>
  <c r="P50" i="25" s="1"/>
  <c r="L52" i="25"/>
  <c r="M52" i="25" s="1"/>
  <c r="I52" i="25"/>
  <c r="P52" i="25" s="1"/>
  <c r="L54" i="25"/>
  <c r="M54" i="25" s="1"/>
  <c r="I54" i="25"/>
  <c r="P54" i="25" s="1"/>
  <c r="L56" i="25"/>
  <c r="M56" i="25" s="1"/>
  <c r="I56" i="25"/>
  <c r="P56" i="25" s="1"/>
  <c r="L58" i="25"/>
  <c r="M58" i="25" s="1"/>
  <c r="I58" i="25"/>
  <c r="P58" i="25" s="1"/>
  <c r="L60" i="25"/>
  <c r="M60" i="25" s="1"/>
  <c r="I60" i="25"/>
  <c r="P60" i="25" s="1"/>
  <c r="L62" i="25"/>
  <c r="M62" i="25" s="1"/>
  <c r="I62" i="25"/>
  <c r="P62" i="25" s="1"/>
  <c r="L64" i="25"/>
  <c r="M64" i="25" s="1"/>
  <c r="I64" i="25"/>
  <c r="P64" i="25" s="1"/>
  <c r="L66" i="25"/>
  <c r="M66" i="25" s="1"/>
  <c r="I66" i="25"/>
  <c r="P66" i="25" s="1"/>
  <c r="L68" i="25"/>
  <c r="M68" i="25" s="1"/>
  <c r="I68" i="25"/>
  <c r="P68" i="25" s="1"/>
  <c r="L70" i="25"/>
  <c r="I70" i="25"/>
  <c r="P70" i="25" s="1"/>
  <c r="L72" i="25"/>
  <c r="M72" i="25" s="1"/>
  <c r="I72" i="25"/>
  <c r="P72" i="25" s="1"/>
  <c r="L74" i="25"/>
  <c r="M74" i="25" s="1"/>
  <c r="I74" i="25"/>
  <c r="P74" i="25" s="1"/>
  <c r="L76" i="25"/>
  <c r="M76" i="25" s="1"/>
  <c r="I76" i="25"/>
  <c r="P76" i="25" s="1"/>
  <c r="L78" i="25"/>
  <c r="M78" i="25" s="1"/>
  <c r="I78" i="25"/>
  <c r="P78" i="25" s="1"/>
  <c r="L80" i="25"/>
  <c r="M80" i="25" s="1"/>
  <c r="I80" i="25"/>
  <c r="P80" i="25" s="1"/>
  <c r="L82" i="25"/>
  <c r="M82" i="25" s="1"/>
  <c r="I82" i="25"/>
  <c r="P82" i="25" s="1"/>
  <c r="L84" i="25"/>
  <c r="M84" i="25" s="1"/>
  <c r="I84" i="25"/>
  <c r="P84" i="25" s="1"/>
  <c r="L86" i="25"/>
  <c r="M86" i="25" s="1"/>
  <c r="I86" i="25"/>
  <c r="P86" i="25" s="1"/>
  <c r="L88" i="25"/>
  <c r="M88" i="25" s="1"/>
  <c r="I88" i="25"/>
  <c r="P88" i="25" s="1"/>
  <c r="L90" i="25"/>
  <c r="M90" i="25" s="1"/>
  <c r="I90" i="25"/>
  <c r="P90" i="25" s="1"/>
  <c r="L92" i="25"/>
  <c r="M92" i="25" s="1"/>
  <c r="I92" i="25"/>
  <c r="P92" i="25" s="1"/>
  <c r="I94" i="25"/>
  <c r="P94" i="25" s="1"/>
  <c r="L94" i="25"/>
  <c r="M94" i="25" s="1"/>
  <c r="I96" i="25"/>
  <c r="P96" i="25" s="1"/>
  <c r="L96" i="25"/>
  <c r="H33" i="26" s="1"/>
  <c r="I98" i="25"/>
  <c r="P98" i="25" s="1"/>
  <c r="L98" i="25"/>
  <c r="M98" i="25" s="1"/>
  <c r="I100" i="25"/>
  <c r="P100" i="25" s="1"/>
  <c r="L100" i="25"/>
  <c r="M100" i="25" s="1"/>
  <c r="I102" i="25"/>
  <c r="P102" i="25" s="1"/>
  <c r="L102" i="25"/>
  <c r="I104" i="25"/>
  <c r="P104" i="25" s="1"/>
  <c r="L104" i="25"/>
  <c r="M104" i="25" s="1"/>
  <c r="I106" i="25"/>
  <c r="P106" i="25" s="1"/>
  <c r="L106" i="25"/>
  <c r="M106" i="25" s="1"/>
  <c r="I108" i="25"/>
  <c r="P108" i="25" s="1"/>
  <c r="L108" i="25"/>
  <c r="M108" i="25" s="1"/>
  <c r="I110" i="25"/>
  <c r="P110" i="25" s="1"/>
  <c r="L110" i="25"/>
  <c r="M110" i="25" s="1"/>
  <c r="I112" i="25"/>
  <c r="P112" i="25" s="1"/>
  <c r="L112" i="25"/>
  <c r="M112" i="25" s="1"/>
  <c r="I114" i="25"/>
  <c r="P114" i="25" s="1"/>
  <c r="L114" i="25"/>
  <c r="M114" i="25" s="1"/>
  <c r="I116" i="25"/>
  <c r="P116" i="25" s="1"/>
  <c r="L116" i="25"/>
  <c r="M116" i="25" s="1"/>
  <c r="I118" i="25"/>
  <c r="P118" i="25" s="1"/>
  <c r="L118" i="25"/>
  <c r="M118" i="25" s="1"/>
  <c r="I120" i="25"/>
  <c r="P120" i="25" s="1"/>
  <c r="L120" i="25"/>
  <c r="M120" i="25" s="1"/>
  <c r="I122" i="25"/>
  <c r="P122" i="25" s="1"/>
  <c r="L122" i="25"/>
  <c r="M122" i="25" s="1"/>
  <c r="I124" i="25"/>
  <c r="P124" i="25" s="1"/>
  <c r="L124" i="25"/>
  <c r="M124" i="25" s="1"/>
  <c r="I126" i="25"/>
  <c r="P126" i="25" s="1"/>
  <c r="L126" i="25"/>
  <c r="M126" i="25" s="1"/>
  <c r="I128" i="25"/>
  <c r="P128" i="25" s="1"/>
  <c r="L128" i="25"/>
  <c r="M128" i="25" s="1"/>
  <c r="I130" i="25"/>
  <c r="P130" i="25" s="1"/>
  <c r="L130" i="25"/>
  <c r="M130" i="25" s="1"/>
  <c r="I132" i="25"/>
  <c r="P132" i="25" s="1"/>
  <c r="L132" i="25"/>
  <c r="M132" i="25" s="1"/>
  <c r="I134" i="25"/>
  <c r="P134" i="25" s="1"/>
  <c r="L134" i="25"/>
  <c r="M134" i="25" s="1"/>
  <c r="I136" i="25"/>
  <c r="P136" i="25" s="1"/>
  <c r="L136" i="25"/>
  <c r="M136" i="25" s="1"/>
  <c r="I138" i="25"/>
  <c r="P138" i="25" s="1"/>
  <c r="L138" i="25"/>
  <c r="M138" i="25" s="1"/>
  <c r="I140" i="25"/>
  <c r="P140" i="25" s="1"/>
  <c r="L140" i="25"/>
  <c r="M140" i="25" s="1"/>
  <c r="I142" i="25"/>
  <c r="P142" i="25" s="1"/>
  <c r="L142" i="25"/>
  <c r="M142" i="25" s="1"/>
  <c r="I144" i="25"/>
  <c r="P144" i="25" s="1"/>
  <c r="L144" i="25"/>
  <c r="M144" i="25" s="1"/>
  <c r="I146" i="25"/>
  <c r="P146" i="25" s="1"/>
  <c r="L146" i="25"/>
  <c r="M146" i="25" s="1"/>
  <c r="I148" i="25"/>
  <c r="P148" i="25" s="1"/>
  <c r="L148" i="25"/>
  <c r="M148" i="25" s="1"/>
  <c r="I150" i="25"/>
  <c r="P150" i="25" s="1"/>
  <c r="L150" i="25"/>
  <c r="I152" i="25"/>
  <c r="P152" i="25" s="1"/>
  <c r="L152" i="25"/>
  <c r="M152" i="25" s="1"/>
  <c r="I154" i="25"/>
  <c r="P154" i="25" s="1"/>
  <c r="L154" i="25"/>
  <c r="M154" i="25" s="1"/>
  <c r="I156" i="25"/>
  <c r="P156" i="25" s="1"/>
  <c r="L156" i="25"/>
  <c r="M156" i="25" s="1"/>
  <c r="I158" i="25"/>
  <c r="P158" i="25" s="1"/>
  <c r="L158" i="25"/>
  <c r="M158" i="25" s="1"/>
  <c r="I160" i="25"/>
  <c r="P160" i="25" s="1"/>
  <c r="L160" i="25"/>
  <c r="M160" i="25" s="1"/>
  <c r="I162" i="25"/>
  <c r="P162" i="25" s="1"/>
  <c r="L162" i="25"/>
  <c r="M162" i="25" s="1"/>
  <c r="I164" i="25"/>
  <c r="P164" i="25" s="1"/>
  <c r="L164" i="25"/>
  <c r="M164" i="25" s="1"/>
  <c r="I166" i="25"/>
  <c r="P166" i="25" s="1"/>
  <c r="L166" i="25"/>
  <c r="M166" i="25" s="1"/>
  <c r="L11" i="25"/>
  <c r="M11" i="25" s="1"/>
  <c r="I11" i="25"/>
  <c r="P11" i="25" s="1"/>
  <c r="L19" i="25"/>
  <c r="M19" i="25" s="1"/>
  <c r="I19" i="25"/>
  <c r="P19" i="25" s="1"/>
  <c r="L27" i="25"/>
  <c r="M27" i="25" s="1"/>
  <c r="I27" i="25"/>
  <c r="P27" i="25" s="1"/>
  <c r="L35" i="25"/>
  <c r="M35" i="25" s="1"/>
  <c r="I35" i="25"/>
  <c r="P35" i="25" s="1"/>
  <c r="L43" i="25"/>
  <c r="M43" i="25" s="1"/>
  <c r="I43" i="25"/>
  <c r="P43" i="25" s="1"/>
  <c r="L49" i="25"/>
  <c r="M49" i="25" s="1"/>
  <c r="I49" i="25"/>
  <c r="P49" i="25" s="1"/>
  <c r="L57" i="25"/>
  <c r="M57" i="25" s="1"/>
  <c r="I57" i="25"/>
  <c r="P57" i="25" s="1"/>
  <c r="L63" i="25"/>
  <c r="M63" i="25" s="1"/>
  <c r="I63" i="25"/>
  <c r="P63" i="25" s="1"/>
  <c r="L69" i="25"/>
  <c r="M69" i="25" s="1"/>
  <c r="I69" i="25"/>
  <c r="P69" i="25" s="1"/>
  <c r="L73" i="25"/>
  <c r="M73" i="25" s="1"/>
  <c r="I73" i="25"/>
  <c r="P73" i="25" s="1"/>
  <c r="L77" i="25"/>
  <c r="M77" i="25" s="1"/>
  <c r="I77" i="25"/>
  <c r="P77" i="25" s="1"/>
  <c r="L79" i="25"/>
  <c r="M79" i="25" s="1"/>
  <c r="I79" i="25"/>
  <c r="P79" i="25" s="1"/>
  <c r="L81" i="25"/>
  <c r="M81" i="25" s="1"/>
  <c r="I81" i="25"/>
  <c r="P81" i="25" s="1"/>
  <c r="L83" i="25"/>
  <c r="M83" i="25" s="1"/>
  <c r="I83" i="25"/>
  <c r="P83" i="25" s="1"/>
  <c r="L85" i="25"/>
  <c r="M85" i="25" s="1"/>
  <c r="I85" i="25"/>
  <c r="P85" i="25" s="1"/>
  <c r="L87" i="25"/>
  <c r="M87" i="25" s="1"/>
  <c r="I87" i="25"/>
  <c r="P87" i="25" s="1"/>
  <c r="L89" i="25"/>
  <c r="M89" i="25" s="1"/>
  <c r="I89" i="25"/>
  <c r="P89" i="25" s="1"/>
  <c r="L91" i="25"/>
  <c r="M91" i="25" s="1"/>
  <c r="I91" i="25"/>
  <c r="P91" i="25" s="1"/>
  <c r="I93" i="25"/>
  <c r="P93" i="25" s="1"/>
  <c r="L93" i="25"/>
  <c r="M93" i="25" s="1"/>
  <c r="I95" i="25"/>
  <c r="P95" i="25" s="1"/>
  <c r="L95" i="25"/>
  <c r="M95" i="25" s="1"/>
  <c r="I97" i="25"/>
  <c r="P97" i="25" s="1"/>
  <c r="L97" i="25"/>
  <c r="M97" i="25" s="1"/>
  <c r="I99" i="25"/>
  <c r="P99" i="25" s="1"/>
  <c r="L99" i="25"/>
  <c r="M99" i="25" s="1"/>
  <c r="I101" i="25"/>
  <c r="P101" i="25" s="1"/>
  <c r="L101" i="25"/>
  <c r="M101" i="25" s="1"/>
  <c r="I103" i="25"/>
  <c r="P103" i="25" s="1"/>
  <c r="L103" i="25"/>
  <c r="M103" i="25" s="1"/>
  <c r="I105" i="25"/>
  <c r="P105" i="25" s="1"/>
  <c r="L105" i="25"/>
  <c r="M105" i="25" s="1"/>
  <c r="I107" i="25"/>
  <c r="P107" i="25" s="1"/>
  <c r="L107" i="25"/>
  <c r="M107" i="25" s="1"/>
  <c r="I109" i="25"/>
  <c r="P109" i="25" s="1"/>
  <c r="L109" i="25"/>
  <c r="M109" i="25" s="1"/>
  <c r="I111" i="25"/>
  <c r="P111" i="25" s="1"/>
  <c r="L111" i="25"/>
  <c r="M111" i="25" s="1"/>
  <c r="I113" i="25"/>
  <c r="P113" i="25" s="1"/>
  <c r="L113" i="25"/>
  <c r="M113" i="25" s="1"/>
  <c r="I115" i="25"/>
  <c r="P115" i="25" s="1"/>
  <c r="L115" i="25"/>
  <c r="M115" i="25" s="1"/>
  <c r="I117" i="25"/>
  <c r="P117" i="25" s="1"/>
  <c r="L117" i="25"/>
  <c r="M117" i="25" s="1"/>
  <c r="I119" i="25"/>
  <c r="P119" i="25" s="1"/>
  <c r="L119" i="25"/>
  <c r="M119" i="25" s="1"/>
  <c r="I121" i="25"/>
  <c r="P121" i="25" s="1"/>
  <c r="L121" i="25"/>
  <c r="M121" i="25" s="1"/>
  <c r="I123" i="25"/>
  <c r="P123" i="25" s="1"/>
  <c r="L123" i="25"/>
  <c r="M123" i="25" s="1"/>
  <c r="I125" i="25"/>
  <c r="P125" i="25" s="1"/>
  <c r="L125" i="25"/>
  <c r="M125" i="25" s="1"/>
  <c r="I127" i="25"/>
  <c r="P127" i="25" s="1"/>
  <c r="L127" i="25"/>
  <c r="M127" i="25" s="1"/>
  <c r="I129" i="25"/>
  <c r="P129" i="25" s="1"/>
  <c r="L129" i="25"/>
  <c r="M129" i="25" s="1"/>
  <c r="I131" i="25"/>
  <c r="P131" i="25" s="1"/>
  <c r="L131" i="25"/>
  <c r="M131" i="25" s="1"/>
  <c r="I133" i="25"/>
  <c r="P133" i="25" s="1"/>
  <c r="L133" i="25"/>
  <c r="M133" i="25" s="1"/>
  <c r="I135" i="25"/>
  <c r="P135" i="25" s="1"/>
  <c r="L135" i="25"/>
  <c r="M135" i="25" s="1"/>
  <c r="I137" i="25"/>
  <c r="P137" i="25" s="1"/>
  <c r="L137" i="25"/>
  <c r="M137" i="25" s="1"/>
  <c r="I139" i="25"/>
  <c r="P139" i="25" s="1"/>
  <c r="L139" i="25"/>
  <c r="M139" i="25" s="1"/>
  <c r="I141" i="25"/>
  <c r="P141" i="25" s="1"/>
  <c r="L141" i="25"/>
  <c r="M141" i="25" s="1"/>
  <c r="I143" i="25"/>
  <c r="P143" i="25" s="1"/>
  <c r="L143" i="25"/>
  <c r="M143" i="25" s="1"/>
  <c r="I145" i="25"/>
  <c r="P145" i="25" s="1"/>
  <c r="L145" i="25"/>
  <c r="M145" i="25" s="1"/>
  <c r="I147" i="25"/>
  <c r="P147" i="25" s="1"/>
  <c r="L147" i="25"/>
  <c r="M147" i="25" s="1"/>
  <c r="I149" i="25"/>
  <c r="P149" i="25" s="1"/>
  <c r="L149" i="25"/>
  <c r="M149" i="25" s="1"/>
  <c r="I151" i="25"/>
  <c r="P151" i="25" s="1"/>
  <c r="L151" i="25"/>
  <c r="M151" i="25" s="1"/>
  <c r="I153" i="25"/>
  <c r="P153" i="25" s="1"/>
  <c r="L153" i="25"/>
  <c r="M153" i="25" s="1"/>
  <c r="I155" i="25"/>
  <c r="P155" i="25" s="1"/>
  <c r="L155" i="25"/>
  <c r="M155" i="25" s="1"/>
  <c r="I157" i="25"/>
  <c r="P157" i="25" s="1"/>
  <c r="L157" i="25"/>
  <c r="M157" i="25" s="1"/>
  <c r="I159" i="25"/>
  <c r="P159" i="25" s="1"/>
  <c r="L159" i="25"/>
  <c r="M159" i="25" s="1"/>
  <c r="I161" i="25"/>
  <c r="P161" i="25" s="1"/>
  <c r="L161" i="25"/>
  <c r="M161" i="25" s="1"/>
  <c r="I163" i="25"/>
  <c r="P163" i="25" s="1"/>
  <c r="L163" i="25"/>
  <c r="M163" i="25" s="1"/>
  <c r="I165" i="25"/>
  <c r="P165" i="25" s="1"/>
  <c r="L165" i="25"/>
  <c r="M165" i="25" s="1"/>
  <c r="C45" i="73" l="1"/>
  <c r="M102" i="25"/>
  <c r="H34" i="26"/>
  <c r="M70" i="25"/>
  <c r="H30" i="26"/>
  <c r="K24" i="26" s="1"/>
  <c r="K30" i="26" s="1"/>
  <c r="M32" i="25"/>
  <c r="H31" i="26"/>
  <c r="M23" i="25"/>
  <c r="H32" i="26"/>
  <c r="M96" i="25"/>
  <c r="J161" i="25"/>
  <c r="K161" i="25" s="1"/>
  <c r="J153" i="25"/>
  <c r="K153" i="25" s="1"/>
  <c r="J145" i="25"/>
  <c r="K145" i="25" s="1"/>
  <c r="J137" i="25"/>
  <c r="K137" i="25" s="1"/>
  <c r="J129" i="25"/>
  <c r="K129" i="25" s="1"/>
  <c r="J121" i="25"/>
  <c r="K121" i="25" s="1"/>
  <c r="J113" i="25"/>
  <c r="K113" i="25" s="1"/>
  <c r="J105" i="25"/>
  <c r="K105" i="25" s="1"/>
  <c r="J97" i="25"/>
  <c r="K97" i="25" s="1"/>
  <c r="J160" i="25"/>
  <c r="K160" i="25" s="1"/>
  <c r="J152" i="25"/>
  <c r="K152" i="25" s="1"/>
  <c r="J88" i="25"/>
  <c r="K88" i="25" s="1"/>
  <c r="J80" i="25"/>
  <c r="K80" i="25" s="1"/>
  <c r="J72" i="25"/>
  <c r="K72" i="25" s="1"/>
  <c r="J64" i="25"/>
  <c r="K64" i="25" s="1"/>
  <c r="J56" i="25"/>
  <c r="K56" i="25" s="1"/>
  <c r="J48" i="25"/>
  <c r="K48" i="25" s="1"/>
  <c r="J40" i="25"/>
  <c r="K40" i="25" s="1"/>
  <c r="J32" i="25"/>
  <c r="K32" i="25" s="1"/>
  <c r="J24" i="25"/>
  <c r="K24" i="25" s="1"/>
  <c r="J16" i="25"/>
  <c r="K16" i="25" s="1"/>
  <c r="J71" i="25"/>
  <c r="K71" i="25" s="1"/>
  <c r="J59" i="25"/>
  <c r="K59" i="25" s="1"/>
  <c r="J47" i="25"/>
  <c r="K47" i="25" s="1"/>
  <c r="J37" i="25"/>
  <c r="K37" i="25" s="1"/>
  <c r="J25" i="25"/>
  <c r="K25" i="25" s="1"/>
  <c r="J15" i="25"/>
  <c r="K15" i="25" s="1"/>
  <c r="J87" i="25"/>
  <c r="K87" i="25" s="1"/>
  <c r="J79" i="25"/>
  <c r="K79" i="25" s="1"/>
  <c r="J63" i="25"/>
  <c r="K63" i="25" s="1"/>
  <c r="J35" i="25"/>
  <c r="K35" i="25" s="1"/>
  <c r="J144" i="25"/>
  <c r="K144" i="25" s="1"/>
  <c r="J136" i="25"/>
  <c r="K136" i="25" s="1"/>
  <c r="J128" i="25"/>
  <c r="K128" i="25" s="1"/>
  <c r="J120" i="25"/>
  <c r="K120" i="25" s="1"/>
  <c r="J112" i="25"/>
  <c r="K112" i="25" s="1"/>
  <c r="J104" i="25"/>
  <c r="K104" i="25" s="1"/>
  <c r="J96" i="25"/>
  <c r="K96" i="25" s="1"/>
  <c r="J159" i="25"/>
  <c r="K159" i="25" s="1"/>
  <c r="J151" i="25"/>
  <c r="K151" i="25" s="1"/>
  <c r="J143" i="25"/>
  <c r="K143" i="25" s="1"/>
  <c r="J135" i="25"/>
  <c r="K135" i="25" s="1"/>
  <c r="J127" i="25"/>
  <c r="K127" i="25" s="1"/>
  <c r="J119" i="25"/>
  <c r="K119" i="25" s="1"/>
  <c r="J111" i="25"/>
  <c r="K111" i="25" s="1"/>
  <c r="J103" i="25"/>
  <c r="K103" i="25" s="1"/>
  <c r="J95" i="25"/>
  <c r="K95" i="25" s="1"/>
  <c r="J166" i="25"/>
  <c r="K166" i="25" s="1"/>
  <c r="J158" i="25"/>
  <c r="K158" i="25" s="1"/>
  <c r="J150" i="25"/>
  <c r="K150" i="25" s="1"/>
  <c r="J86" i="25"/>
  <c r="K86" i="25" s="1"/>
  <c r="J85" i="25"/>
  <c r="K85" i="25" s="1"/>
  <c r="J165" i="25"/>
  <c r="K165" i="25" s="1"/>
  <c r="J149" i="25"/>
  <c r="K149" i="25" s="1"/>
  <c r="J125" i="25"/>
  <c r="K125" i="25" s="1"/>
  <c r="J157" i="25"/>
  <c r="K157" i="25" s="1"/>
  <c r="J141" i="25"/>
  <c r="K141" i="25" s="1"/>
  <c r="J133" i="25"/>
  <c r="K133" i="25" s="1"/>
  <c r="J91" i="25"/>
  <c r="K91" i="25" s="1"/>
  <c r="J83" i="25"/>
  <c r="K83" i="25" s="1"/>
  <c r="J73" i="25"/>
  <c r="K73" i="25" s="1"/>
  <c r="J49" i="25"/>
  <c r="K49" i="25" s="1"/>
  <c r="J19" i="25"/>
  <c r="K19" i="25" s="1"/>
  <c r="J148" i="25"/>
  <c r="K148" i="25" s="1"/>
  <c r="J140" i="25"/>
  <c r="K140" i="25" s="1"/>
  <c r="J132" i="25"/>
  <c r="K132" i="25" s="1"/>
  <c r="J124" i="25"/>
  <c r="K124" i="25" s="1"/>
  <c r="J116" i="25"/>
  <c r="K116" i="25" s="1"/>
  <c r="J108" i="25"/>
  <c r="K108" i="25" s="1"/>
  <c r="J100" i="25"/>
  <c r="K100" i="25" s="1"/>
  <c r="J163" i="25"/>
  <c r="K163" i="25" s="1"/>
  <c r="J155" i="25"/>
  <c r="K155" i="25" s="1"/>
  <c r="J147" i="25"/>
  <c r="K147" i="25" s="1"/>
  <c r="J139" i="25"/>
  <c r="K139" i="25" s="1"/>
  <c r="J131" i="25"/>
  <c r="K131" i="25" s="1"/>
  <c r="J123" i="25"/>
  <c r="K123" i="25" s="1"/>
  <c r="J89" i="25"/>
  <c r="K89" i="25" s="1"/>
  <c r="J81" i="25"/>
  <c r="K81" i="25" s="1"/>
  <c r="J69" i="25"/>
  <c r="K69" i="25" s="1"/>
  <c r="J43" i="25"/>
  <c r="K43" i="25" s="1"/>
  <c r="J11" i="25"/>
  <c r="K11" i="25" s="1"/>
  <c r="J146" i="25"/>
  <c r="K146" i="25" s="1"/>
  <c r="J138" i="25"/>
  <c r="K138" i="25" s="1"/>
  <c r="J130" i="25"/>
  <c r="K130" i="25" s="1"/>
  <c r="J122" i="25"/>
  <c r="K122" i="25" s="1"/>
  <c r="J114" i="25"/>
  <c r="K114" i="25" s="1"/>
  <c r="J106" i="25"/>
  <c r="K106" i="25" s="1"/>
  <c r="J98" i="25"/>
  <c r="K98" i="25" s="1"/>
  <c r="J78" i="25"/>
  <c r="K78" i="25" s="1"/>
  <c r="J70" i="25"/>
  <c r="K70" i="25" s="1"/>
  <c r="J62" i="25"/>
  <c r="K62" i="25" s="1"/>
  <c r="J54" i="25"/>
  <c r="K54" i="25" s="1"/>
  <c r="J46" i="25"/>
  <c r="K46" i="25" s="1"/>
  <c r="J38" i="25"/>
  <c r="K38" i="25" s="1"/>
  <c r="J30" i="25"/>
  <c r="K30" i="25" s="1"/>
  <c r="J22" i="25"/>
  <c r="K22" i="25" s="1"/>
  <c r="J14" i="25"/>
  <c r="K14" i="25" s="1"/>
  <c r="J67" i="25"/>
  <c r="K67" i="25" s="1"/>
  <c r="J55" i="25"/>
  <c r="K55" i="25" s="1"/>
  <c r="J45" i="25"/>
  <c r="K45" i="25" s="1"/>
  <c r="J33" i="25"/>
  <c r="K33" i="25" s="1"/>
  <c r="J23" i="25"/>
  <c r="K23" i="25" s="1"/>
  <c r="J13" i="25"/>
  <c r="K13" i="25" s="1"/>
  <c r="J77" i="25"/>
  <c r="K77" i="25" s="1"/>
  <c r="J57" i="25"/>
  <c r="K57" i="25" s="1"/>
  <c r="J27" i="25"/>
  <c r="K27" i="25" s="1"/>
  <c r="J142" i="25"/>
  <c r="K142" i="25" s="1"/>
  <c r="J134" i="25"/>
  <c r="K134" i="25" s="1"/>
  <c r="J126" i="25"/>
  <c r="K126" i="25" s="1"/>
  <c r="J118" i="25"/>
  <c r="K118" i="25" s="1"/>
  <c r="J110" i="25"/>
  <c r="K110" i="25" s="1"/>
  <c r="J102" i="25"/>
  <c r="K102" i="25" s="1"/>
  <c r="J94" i="25"/>
  <c r="K94" i="25" s="1"/>
  <c r="J117" i="25"/>
  <c r="K117" i="25" s="1"/>
  <c r="J109" i="25"/>
  <c r="K109" i="25" s="1"/>
  <c r="J101" i="25"/>
  <c r="K101" i="25" s="1"/>
  <c r="J93" i="25"/>
  <c r="K93" i="25" s="1"/>
  <c r="J164" i="25"/>
  <c r="K164" i="25" s="1"/>
  <c r="J156" i="25"/>
  <c r="K156" i="25" s="1"/>
  <c r="J92" i="25"/>
  <c r="K92" i="25" s="1"/>
  <c r="J84" i="25"/>
  <c r="K84" i="25" s="1"/>
  <c r="J76" i="25"/>
  <c r="K76" i="25" s="1"/>
  <c r="J68" i="25"/>
  <c r="K68" i="25" s="1"/>
  <c r="J60" i="25"/>
  <c r="K60" i="25" s="1"/>
  <c r="J52" i="25"/>
  <c r="K52" i="25" s="1"/>
  <c r="J44" i="25"/>
  <c r="K44" i="25" s="1"/>
  <c r="J36" i="25"/>
  <c r="K36" i="25" s="1"/>
  <c r="J28" i="25"/>
  <c r="K28" i="25" s="1"/>
  <c r="J20" i="25"/>
  <c r="K20" i="25" s="1"/>
  <c r="J12" i="25"/>
  <c r="K12" i="25" s="1"/>
  <c r="J65" i="25"/>
  <c r="K65" i="25" s="1"/>
  <c r="J53" i="25"/>
  <c r="K53" i="25" s="1"/>
  <c r="J41" i="25"/>
  <c r="K41" i="25" s="1"/>
  <c r="J31" i="25"/>
  <c r="K31" i="25" s="1"/>
  <c r="J21" i="25"/>
  <c r="K21" i="25" s="1"/>
  <c r="J115" i="25"/>
  <c r="K115" i="25" s="1"/>
  <c r="J107" i="25"/>
  <c r="K107" i="25" s="1"/>
  <c r="J99" i="25"/>
  <c r="K99" i="25" s="1"/>
  <c r="J162" i="25"/>
  <c r="K162" i="25" s="1"/>
  <c r="J154" i="25"/>
  <c r="K154" i="25" s="1"/>
  <c r="J90" i="25"/>
  <c r="K90" i="25" s="1"/>
  <c r="J82" i="25"/>
  <c r="K82" i="25" s="1"/>
  <c r="J74" i="25"/>
  <c r="K74" i="25" s="1"/>
  <c r="J66" i="25"/>
  <c r="K66" i="25" s="1"/>
  <c r="J58" i="25"/>
  <c r="K58" i="25" s="1"/>
  <c r="J50" i="25"/>
  <c r="K50" i="25" s="1"/>
  <c r="J42" i="25"/>
  <c r="K42" i="25" s="1"/>
  <c r="J34" i="25"/>
  <c r="K34" i="25" s="1"/>
  <c r="J26" i="25"/>
  <c r="K26" i="25" s="1"/>
  <c r="J18" i="25"/>
  <c r="K18" i="25" s="1"/>
  <c r="J75" i="25"/>
  <c r="K75" i="25" s="1"/>
  <c r="J61" i="25"/>
  <c r="K61" i="25" s="1"/>
  <c r="J51" i="25"/>
  <c r="K51" i="25" s="1"/>
  <c r="J39" i="25"/>
  <c r="K39" i="25" s="1"/>
  <c r="J29" i="25"/>
  <c r="K29" i="25" s="1"/>
  <c r="J17" i="25"/>
  <c r="K17" i="25" s="1"/>
  <c r="M150" i="25"/>
  <c r="O32" i="26"/>
  <c r="O33" i="26" s="1"/>
  <c r="P33" i="26" s="1"/>
  <c r="Q32" i="26"/>
  <c r="Q33" i="26" l="1"/>
  <c r="R33" i="26" s="1"/>
  <c r="R32" i="26"/>
  <c r="O26" i="26"/>
  <c r="O28" i="26" s="1"/>
  <c r="K32" i="26"/>
  <c r="K34" i="26" l="1"/>
  <c r="K35" i="26" s="1"/>
  <c r="K33" i="26"/>
  <c r="G23" i="1" l="1"/>
  <c r="G24" i="1"/>
  <c r="G7" i="1"/>
  <c r="G9" i="1" s="1"/>
  <c r="C9" i="1"/>
  <c r="C11" i="1" l="1"/>
  <c r="N35" i="6"/>
  <c r="C20" i="1" l="1"/>
  <c r="C19" i="1"/>
  <c r="L10" i="1"/>
  <c r="B3" i="4" l="1"/>
  <c r="L12" i="1"/>
  <c r="L11" i="1"/>
  <c r="H7" i="8"/>
  <c r="O11" i="4" l="1"/>
  <c r="O51" i="4"/>
  <c r="O163" i="4"/>
  <c r="O12" i="4"/>
  <c r="O20" i="4"/>
  <c r="O28" i="4"/>
  <c r="O36" i="4"/>
  <c r="O44" i="4"/>
  <c r="O52" i="4"/>
  <c r="O60" i="4"/>
  <c r="O68" i="4"/>
  <c r="O76" i="4"/>
  <c r="O84" i="4"/>
  <c r="O92" i="4"/>
  <c r="O100" i="4"/>
  <c r="O108" i="4"/>
  <c r="O116" i="4"/>
  <c r="O124" i="4"/>
  <c r="O132" i="4"/>
  <c r="O140" i="4"/>
  <c r="O148" i="4"/>
  <c r="O156" i="4"/>
  <c r="O164" i="4"/>
  <c r="O61" i="4"/>
  <c r="O85" i="4"/>
  <c r="O101" i="4"/>
  <c r="O109" i="4"/>
  <c r="O125" i="4"/>
  <c r="O133" i="4"/>
  <c r="O149" i="4"/>
  <c r="O165" i="4"/>
  <c r="O103" i="4"/>
  <c r="O127" i="4"/>
  <c r="O151" i="4"/>
  <c r="O32" i="4"/>
  <c r="O40" i="4"/>
  <c r="O72" i="4"/>
  <c r="O104" i="4"/>
  <c r="O136" i="4"/>
  <c r="O82" i="4"/>
  <c r="O122" i="4"/>
  <c r="O162" i="4"/>
  <c r="O59" i="4"/>
  <c r="O99" i="4"/>
  <c r="O131" i="4"/>
  <c r="O13" i="4"/>
  <c r="O21" i="4"/>
  <c r="O29" i="4"/>
  <c r="O37" i="4"/>
  <c r="O45" i="4"/>
  <c r="O53" i="4"/>
  <c r="O69" i="4"/>
  <c r="O77" i="4"/>
  <c r="O93" i="4"/>
  <c r="O117" i="4"/>
  <c r="O141" i="4"/>
  <c r="O157" i="4"/>
  <c r="O111" i="4"/>
  <c r="O135" i="4"/>
  <c r="O16" i="4"/>
  <c r="O56" i="4"/>
  <c r="O88" i="4"/>
  <c r="O112" i="4"/>
  <c r="O144" i="4"/>
  <c r="O98" i="4"/>
  <c r="O138" i="4"/>
  <c r="O19" i="4"/>
  <c r="O75" i="4"/>
  <c r="O115" i="4"/>
  <c r="O14" i="4"/>
  <c r="O22" i="4"/>
  <c r="O30" i="4"/>
  <c r="O38" i="4"/>
  <c r="O46" i="4"/>
  <c r="O54" i="4"/>
  <c r="O62" i="4"/>
  <c r="O70" i="4"/>
  <c r="O78" i="4"/>
  <c r="O86" i="4"/>
  <c r="O94" i="4"/>
  <c r="O102" i="4"/>
  <c r="O110" i="4"/>
  <c r="O118" i="4"/>
  <c r="O126" i="4"/>
  <c r="O134" i="4"/>
  <c r="O142" i="4"/>
  <c r="O150" i="4"/>
  <c r="O158" i="4"/>
  <c r="O166" i="4"/>
  <c r="O15" i="4"/>
  <c r="O23" i="4"/>
  <c r="O31" i="4"/>
  <c r="O39" i="4"/>
  <c r="O55" i="4"/>
  <c r="O63" i="4"/>
  <c r="O71" i="4"/>
  <c r="O79" i="4"/>
  <c r="O87" i="4"/>
  <c r="O95" i="4"/>
  <c r="O119" i="4"/>
  <c r="O143" i="4"/>
  <c r="O24" i="4"/>
  <c r="O48" i="4"/>
  <c r="O64" i="4"/>
  <c r="O96" i="4"/>
  <c r="O128" i="4"/>
  <c r="O160" i="4"/>
  <c r="O106" i="4"/>
  <c r="O146" i="4"/>
  <c r="O35" i="4"/>
  <c r="O83" i="4"/>
  <c r="O123" i="4"/>
  <c r="O47" i="4"/>
  <c r="O159" i="4"/>
  <c r="O80" i="4"/>
  <c r="O120" i="4"/>
  <c r="O152" i="4"/>
  <c r="O114" i="4"/>
  <c r="O154" i="4"/>
  <c r="O43" i="4"/>
  <c r="O91" i="4"/>
  <c r="O139" i="4"/>
  <c r="O155" i="4"/>
  <c r="O17" i="4"/>
  <c r="O25" i="4"/>
  <c r="O33" i="4"/>
  <c r="O41" i="4"/>
  <c r="O49" i="4"/>
  <c r="O57" i="4"/>
  <c r="O65" i="4"/>
  <c r="O73" i="4"/>
  <c r="O81" i="4"/>
  <c r="O89" i="4"/>
  <c r="O97" i="4"/>
  <c r="O105" i="4"/>
  <c r="O113" i="4"/>
  <c r="O121" i="4"/>
  <c r="O129" i="4"/>
  <c r="O137" i="4"/>
  <c r="O145" i="4"/>
  <c r="O153" i="4"/>
  <c r="O161" i="4"/>
  <c r="O18" i="4"/>
  <c r="O26" i="4"/>
  <c r="O34" i="4"/>
  <c r="O42" i="4"/>
  <c r="O50" i="4"/>
  <c r="O58" i="4"/>
  <c r="O66" i="4"/>
  <c r="O74" i="4"/>
  <c r="O90" i="4"/>
  <c r="O130" i="4"/>
  <c r="O27" i="4"/>
  <c r="O67" i="4"/>
  <c r="O107" i="4"/>
  <c r="O147" i="4"/>
  <c r="E34" i="6" l="1"/>
  <c r="D34" i="6"/>
  <c r="C34" i="6"/>
  <c r="B34" i="6"/>
  <c r="B31" i="6"/>
  <c r="C31" i="6"/>
  <c r="D31" i="6"/>
  <c r="E31" i="6"/>
  <c r="B32" i="6"/>
  <c r="C32" i="6"/>
  <c r="D32" i="6"/>
  <c r="E32" i="6"/>
  <c r="B33" i="6"/>
  <c r="C33" i="6"/>
  <c r="D33" i="6"/>
  <c r="E33" i="6"/>
  <c r="E30" i="6"/>
  <c r="D30" i="6"/>
  <c r="B30" i="6"/>
  <c r="E13" i="6"/>
  <c r="F4" i="4" l="1"/>
  <c r="K4" i="4" s="1"/>
  <c r="D14" i="8"/>
  <c r="E15" i="8"/>
  <c r="E14" i="8" s="1"/>
  <c r="E13" i="8" l="1"/>
  <c r="D15" i="8"/>
  <c r="C8" i="8"/>
  <c r="I4" i="8"/>
  <c r="I5" i="8" s="1"/>
  <c r="I4" i="4" l="1"/>
  <c r="J15" i="8"/>
  <c r="I14" i="8" l="1"/>
  <c r="I15" i="8"/>
  <c r="J14" i="8"/>
  <c r="J13" i="8"/>
  <c r="C15" i="8"/>
  <c r="C14" i="8"/>
  <c r="C13" i="8" l="1"/>
  <c r="G4" i="4" s="1"/>
  <c r="H15" i="8"/>
  <c r="H14" i="8"/>
  <c r="D13" i="8" l="1"/>
  <c r="H13" i="8"/>
  <c r="I13" i="8" l="1"/>
  <c r="H4" i="4"/>
  <c r="J28" i="6"/>
  <c r="J27" i="6"/>
  <c r="J25" i="6"/>
  <c r="J23" i="6"/>
  <c r="D22" i="6"/>
  <c r="D24" i="6"/>
  <c r="J31" i="6"/>
  <c r="N27" i="6" l="1"/>
  <c r="N29" i="6" s="1"/>
  <c r="D25" i="6"/>
  <c r="E22" i="6" s="1"/>
  <c r="N31" i="6" l="1"/>
  <c r="N34" i="6" s="1"/>
  <c r="N23" i="6"/>
  <c r="E26" i="6"/>
  <c r="G24" i="6"/>
  <c r="P31" i="6" s="1"/>
  <c r="P34" i="6" s="1"/>
  <c r="Q31" i="6" l="1"/>
  <c r="G26" i="6"/>
  <c r="N22" i="6"/>
  <c r="G11" i="1" l="1"/>
  <c r="G20" i="1" s="1"/>
  <c r="G10" i="1"/>
  <c r="G19" i="1" l="1"/>
  <c r="B2" i="4" l="1"/>
  <c r="H120" i="4" s="1"/>
  <c r="C23" i="1" l="1"/>
  <c r="H11" i="4"/>
  <c r="H134" i="4"/>
  <c r="H53" i="4"/>
  <c r="H102" i="4"/>
  <c r="H101" i="4"/>
  <c r="H149" i="4"/>
  <c r="H165" i="4"/>
  <c r="H150" i="4"/>
  <c r="H56" i="4"/>
  <c r="H33" i="4"/>
  <c r="H97" i="4"/>
  <c r="H161" i="4"/>
  <c r="H74" i="4"/>
  <c r="H138" i="4"/>
  <c r="H51" i="4"/>
  <c r="H115" i="4"/>
  <c r="H143" i="4"/>
  <c r="H15" i="4"/>
  <c r="H46" i="4"/>
  <c r="H77" i="4"/>
  <c r="H108" i="4"/>
  <c r="H135" i="4"/>
  <c r="H100" i="4"/>
  <c r="H133" i="4"/>
  <c r="H118" i="4"/>
  <c r="H116" i="4"/>
  <c r="H64" i="4"/>
  <c r="H128" i="4"/>
  <c r="H41" i="4"/>
  <c r="H105" i="4"/>
  <c r="H18" i="4"/>
  <c r="H82" i="4"/>
  <c r="H146" i="4"/>
  <c r="H59" i="4"/>
  <c r="H123" i="4"/>
  <c r="H127" i="4"/>
  <c r="H158" i="4"/>
  <c r="H30" i="4"/>
  <c r="H61" i="4"/>
  <c r="H92" i="4"/>
  <c r="H119" i="4"/>
  <c r="H13" i="4"/>
  <c r="H132" i="4"/>
  <c r="H96" i="4"/>
  <c r="H73" i="4"/>
  <c r="H114" i="4"/>
  <c r="H155" i="4"/>
  <c r="H125" i="4"/>
  <c r="H28" i="4"/>
  <c r="H68" i="4"/>
  <c r="H104" i="4"/>
  <c r="H145" i="4"/>
  <c r="H35" i="4"/>
  <c r="H47" i="4"/>
  <c r="H140" i="4"/>
  <c r="H21" i="4"/>
  <c r="H86" i="4"/>
  <c r="H84" i="4"/>
  <c r="H69" i="4"/>
  <c r="H72" i="4"/>
  <c r="H136" i="4"/>
  <c r="H49" i="4"/>
  <c r="H113" i="4"/>
  <c r="H26" i="4"/>
  <c r="H90" i="4"/>
  <c r="H154" i="4"/>
  <c r="H67" i="4"/>
  <c r="H131" i="4"/>
  <c r="H111" i="4"/>
  <c r="H142" i="4"/>
  <c r="H14" i="4"/>
  <c r="H45" i="4"/>
  <c r="H76" i="4"/>
  <c r="H103" i="4"/>
  <c r="H20" i="4"/>
  <c r="H52" i="4"/>
  <c r="H37" i="4"/>
  <c r="H16" i="4"/>
  <c r="H80" i="4"/>
  <c r="H144" i="4"/>
  <c r="H57" i="4"/>
  <c r="H121" i="4"/>
  <c r="H34" i="4"/>
  <c r="H98" i="4"/>
  <c r="H162" i="4"/>
  <c r="H75" i="4"/>
  <c r="H139" i="4"/>
  <c r="H95" i="4"/>
  <c r="H126" i="4"/>
  <c r="H157" i="4"/>
  <c r="H29" i="4"/>
  <c r="H60" i="4"/>
  <c r="H87" i="4"/>
  <c r="H44" i="4"/>
  <c r="H148" i="4"/>
  <c r="H32" i="4"/>
  <c r="H160" i="4"/>
  <c r="H50" i="4"/>
  <c r="H91" i="4"/>
  <c r="H63" i="4"/>
  <c r="H156" i="4"/>
  <c r="H85" i="4"/>
  <c r="H40" i="4"/>
  <c r="H81" i="4"/>
  <c r="H122" i="4"/>
  <c r="H163" i="4"/>
  <c r="H109" i="4"/>
  <c r="H39" i="4"/>
  <c r="H38" i="4"/>
  <c r="H48" i="4"/>
  <c r="H25" i="4"/>
  <c r="H153" i="4"/>
  <c r="H130" i="4"/>
  <c r="H107" i="4"/>
  <c r="H31" i="4"/>
  <c r="H93" i="4"/>
  <c r="H151" i="4"/>
  <c r="H22" i="4"/>
  <c r="H166" i="4"/>
  <c r="H164" i="4"/>
  <c r="H24" i="4"/>
  <c r="H88" i="4"/>
  <c r="H152" i="4"/>
  <c r="H65" i="4"/>
  <c r="H129" i="4"/>
  <c r="H42" i="4"/>
  <c r="H106" i="4"/>
  <c r="H19" i="4"/>
  <c r="H83" i="4"/>
  <c r="H147" i="4"/>
  <c r="H79" i="4"/>
  <c r="H110" i="4"/>
  <c r="H141" i="4"/>
  <c r="H71" i="4"/>
  <c r="H117" i="4"/>
  <c r="H137" i="4"/>
  <c r="H27" i="4"/>
  <c r="H94" i="4"/>
  <c r="H55" i="4"/>
  <c r="H70" i="4"/>
  <c r="H17" i="4"/>
  <c r="H58" i="4"/>
  <c r="H99" i="4"/>
  <c r="H78" i="4"/>
  <c r="H12" i="4"/>
  <c r="H54" i="4"/>
  <c r="H36" i="4"/>
  <c r="H112" i="4"/>
  <c r="H89" i="4"/>
  <c r="H66" i="4"/>
  <c r="H43" i="4"/>
  <c r="H159" i="4"/>
  <c r="H62" i="4"/>
  <c r="H124" i="4"/>
  <c r="H23" i="4"/>
  <c r="F32" i="6" l="1"/>
  <c r="F34" i="6"/>
  <c r="F31" i="6"/>
  <c r="F30" i="6"/>
  <c r="F33" i="6"/>
  <c r="L99" i="4"/>
  <c r="M99" i="4" s="1"/>
  <c r="I99" i="4"/>
  <c r="P99" i="4" s="1"/>
  <c r="L106" i="4"/>
  <c r="M106" i="4" s="1"/>
  <c r="I106" i="4"/>
  <c r="P106" i="4" s="1"/>
  <c r="L25" i="4"/>
  <c r="M25" i="4" s="1"/>
  <c r="I25" i="4"/>
  <c r="P25" i="4" s="1"/>
  <c r="L139" i="4"/>
  <c r="M139" i="4" s="1"/>
  <c r="I139" i="4"/>
  <c r="P139" i="4" s="1"/>
  <c r="L14" i="4"/>
  <c r="M14" i="4" s="1"/>
  <c r="I14" i="4"/>
  <c r="P14" i="4" s="1"/>
  <c r="L140" i="4"/>
  <c r="M140" i="4" s="1"/>
  <c r="I140" i="4"/>
  <c r="P140" i="4" s="1"/>
  <c r="L61" i="4"/>
  <c r="M61" i="4" s="1"/>
  <c r="I61" i="4"/>
  <c r="P61" i="4" s="1"/>
  <c r="L100" i="4"/>
  <c r="M100" i="4" s="1"/>
  <c r="I100" i="4"/>
  <c r="P100" i="4" s="1"/>
  <c r="L150" i="4"/>
  <c r="M150" i="4" s="1"/>
  <c r="I150" i="4"/>
  <c r="P150" i="4" s="1"/>
  <c r="L66" i="4"/>
  <c r="M66" i="4" s="1"/>
  <c r="I66" i="4"/>
  <c r="P66" i="4" s="1"/>
  <c r="L58" i="4"/>
  <c r="M58" i="4" s="1"/>
  <c r="I58" i="4"/>
  <c r="P58" i="4" s="1"/>
  <c r="L71" i="4"/>
  <c r="M71" i="4" s="1"/>
  <c r="I71" i="4"/>
  <c r="P71" i="4" s="1"/>
  <c r="I42" i="4"/>
  <c r="P42" i="4" s="1"/>
  <c r="L42" i="4"/>
  <c r="M42" i="4" s="1"/>
  <c r="L22" i="4"/>
  <c r="M22" i="4" s="1"/>
  <c r="I22" i="4"/>
  <c r="P22" i="4" s="1"/>
  <c r="L48" i="4"/>
  <c r="M48" i="4" s="1"/>
  <c r="I48" i="4"/>
  <c r="P48" i="4" s="1"/>
  <c r="I85" i="4"/>
  <c r="P85" i="4" s="1"/>
  <c r="L85" i="4"/>
  <c r="M85" i="4" s="1"/>
  <c r="L44" i="4"/>
  <c r="M44" i="4" s="1"/>
  <c r="I44" i="4"/>
  <c r="P44" i="4" s="1"/>
  <c r="L75" i="4"/>
  <c r="M75" i="4" s="1"/>
  <c r="I75" i="4"/>
  <c r="P75" i="4" s="1"/>
  <c r="L16" i="4"/>
  <c r="M16" i="4" s="1"/>
  <c r="I16" i="4"/>
  <c r="P16" i="4" s="1"/>
  <c r="L142" i="4"/>
  <c r="M142" i="4" s="1"/>
  <c r="I142" i="4"/>
  <c r="P142" i="4" s="1"/>
  <c r="L49" i="4"/>
  <c r="M49" i="4" s="1"/>
  <c r="I49" i="4"/>
  <c r="P49" i="4" s="1"/>
  <c r="L47" i="4"/>
  <c r="M47" i="4" s="1"/>
  <c r="I47" i="4"/>
  <c r="P47" i="4" s="1"/>
  <c r="I114" i="4"/>
  <c r="P114" i="4" s="1"/>
  <c r="L114" i="4"/>
  <c r="M114" i="4" s="1"/>
  <c r="L30" i="4"/>
  <c r="M30" i="4" s="1"/>
  <c r="I30" i="4"/>
  <c r="P30" i="4" s="1"/>
  <c r="L105" i="4"/>
  <c r="M105" i="4" s="1"/>
  <c r="I105" i="4"/>
  <c r="P105" i="4" s="1"/>
  <c r="L135" i="4"/>
  <c r="M135" i="4" s="1"/>
  <c r="I135" i="4"/>
  <c r="P135" i="4" s="1"/>
  <c r="L138" i="4"/>
  <c r="M138" i="4" s="1"/>
  <c r="I138" i="4"/>
  <c r="P138" i="4" s="1"/>
  <c r="L165" i="4"/>
  <c r="M165" i="4" s="1"/>
  <c r="I165" i="4"/>
  <c r="P165" i="4" s="1"/>
  <c r="L89" i="4"/>
  <c r="M89" i="4" s="1"/>
  <c r="I89" i="4"/>
  <c r="P89" i="4" s="1"/>
  <c r="L17" i="4"/>
  <c r="M17" i="4" s="1"/>
  <c r="I17" i="4"/>
  <c r="P17" i="4" s="1"/>
  <c r="I141" i="4"/>
  <c r="P141" i="4" s="1"/>
  <c r="L141" i="4"/>
  <c r="M141" i="4" s="1"/>
  <c r="I129" i="4"/>
  <c r="P129" i="4" s="1"/>
  <c r="L129" i="4"/>
  <c r="M129" i="4" s="1"/>
  <c r="L151" i="4"/>
  <c r="M151" i="4" s="1"/>
  <c r="I151" i="4"/>
  <c r="P151" i="4" s="1"/>
  <c r="L38" i="4"/>
  <c r="M38" i="4" s="1"/>
  <c r="I38" i="4"/>
  <c r="P38" i="4" s="1"/>
  <c r="L156" i="4"/>
  <c r="M156" i="4" s="1"/>
  <c r="I156" i="4"/>
  <c r="P156" i="4" s="1"/>
  <c r="I87" i="4"/>
  <c r="P87" i="4" s="1"/>
  <c r="L87" i="4"/>
  <c r="M87" i="4" s="1"/>
  <c r="L162" i="4"/>
  <c r="M162" i="4" s="1"/>
  <c r="I162" i="4"/>
  <c r="P162" i="4" s="1"/>
  <c r="L37" i="4"/>
  <c r="M37" i="4" s="1"/>
  <c r="I37" i="4"/>
  <c r="P37" i="4" s="1"/>
  <c r="L111" i="4"/>
  <c r="M111" i="4" s="1"/>
  <c r="I111" i="4"/>
  <c r="P111" i="4" s="1"/>
  <c r="L136" i="4"/>
  <c r="M136" i="4" s="1"/>
  <c r="I136" i="4"/>
  <c r="P136" i="4" s="1"/>
  <c r="L35" i="4"/>
  <c r="M35" i="4" s="1"/>
  <c r="I35" i="4"/>
  <c r="P35" i="4" s="1"/>
  <c r="L73" i="4"/>
  <c r="M73" i="4" s="1"/>
  <c r="I73" i="4"/>
  <c r="P73" i="4" s="1"/>
  <c r="L158" i="4"/>
  <c r="M158" i="4" s="1"/>
  <c r="I158" i="4"/>
  <c r="P158" i="4" s="1"/>
  <c r="I41" i="4"/>
  <c r="P41" i="4" s="1"/>
  <c r="L41" i="4"/>
  <c r="M41" i="4" s="1"/>
  <c r="L108" i="4"/>
  <c r="M108" i="4" s="1"/>
  <c r="I108" i="4"/>
  <c r="P108" i="4" s="1"/>
  <c r="I74" i="4"/>
  <c r="P74" i="4" s="1"/>
  <c r="L74" i="4"/>
  <c r="M74" i="4" s="1"/>
  <c r="L149" i="4"/>
  <c r="M149" i="4" s="1"/>
  <c r="I149" i="4"/>
  <c r="P149" i="4" s="1"/>
  <c r="L112" i="4"/>
  <c r="M112" i="4" s="1"/>
  <c r="I112" i="4"/>
  <c r="P112" i="4" s="1"/>
  <c r="L70" i="4"/>
  <c r="M70" i="4" s="1"/>
  <c r="I70" i="4"/>
  <c r="P70" i="4" s="1"/>
  <c r="L110" i="4"/>
  <c r="M110" i="4" s="1"/>
  <c r="I110" i="4"/>
  <c r="P110" i="4" s="1"/>
  <c r="L65" i="4"/>
  <c r="M65" i="4" s="1"/>
  <c r="I65" i="4"/>
  <c r="P65" i="4" s="1"/>
  <c r="L93" i="4"/>
  <c r="M93" i="4" s="1"/>
  <c r="I93" i="4"/>
  <c r="P93" i="4" s="1"/>
  <c r="L39" i="4"/>
  <c r="M39" i="4" s="1"/>
  <c r="I39" i="4"/>
  <c r="P39" i="4" s="1"/>
  <c r="L63" i="4"/>
  <c r="M63" i="4" s="1"/>
  <c r="I63" i="4"/>
  <c r="P63" i="4" s="1"/>
  <c r="L60" i="4"/>
  <c r="M60" i="4" s="1"/>
  <c r="I60" i="4"/>
  <c r="P60" i="4" s="1"/>
  <c r="L98" i="4"/>
  <c r="M98" i="4" s="1"/>
  <c r="I98" i="4"/>
  <c r="P98" i="4" s="1"/>
  <c r="L52" i="4"/>
  <c r="M52" i="4" s="1"/>
  <c r="I52" i="4"/>
  <c r="P52" i="4" s="1"/>
  <c r="I131" i="4"/>
  <c r="P131" i="4" s="1"/>
  <c r="L131" i="4"/>
  <c r="M131" i="4" s="1"/>
  <c r="L72" i="4"/>
  <c r="M72" i="4" s="1"/>
  <c r="I72" i="4"/>
  <c r="P72" i="4" s="1"/>
  <c r="L145" i="4"/>
  <c r="M145" i="4" s="1"/>
  <c r="I145" i="4"/>
  <c r="P145" i="4" s="1"/>
  <c r="L96" i="4"/>
  <c r="M96" i="4" s="1"/>
  <c r="I96" i="4"/>
  <c r="P96" i="4" s="1"/>
  <c r="L127" i="4"/>
  <c r="M127" i="4" s="1"/>
  <c r="I127" i="4"/>
  <c r="P127" i="4" s="1"/>
  <c r="L128" i="4"/>
  <c r="I128" i="4"/>
  <c r="P128" i="4" s="1"/>
  <c r="L77" i="4"/>
  <c r="M77" i="4" s="1"/>
  <c r="I77" i="4"/>
  <c r="P77" i="4" s="1"/>
  <c r="L161" i="4"/>
  <c r="M161" i="4" s="1"/>
  <c r="I161" i="4"/>
  <c r="P161" i="4" s="1"/>
  <c r="L101" i="4"/>
  <c r="M101" i="4" s="1"/>
  <c r="I101" i="4"/>
  <c r="P101" i="4" s="1"/>
  <c r="L43" i="4"/>
  <c r="M43" i="4" s="1"/>
  <c r="I43" i="4"/>
  <c r="P43" i="4" s="1"/>
  <c r="L117" i="4"/>
  <c r="M117" i="4" s="1"/>
  <c r="I117" i="4"/>
  <c r="P117" i="4" s="1"/>
  <c r="L166" i="4"/>
  <c r="M166" i="4" s="1"/>
  <c r="I166" i="4"/>
  <c r="P166" i="4" s="1"/>
  <c r="I40" i="4"/>
  <c r="P40" i="4" s="1"/>
  <c r="L40" i="4"/>
  <c r="M40" i="4" s="1"/>
  <c r="L148" i="4"/>
  <c r="M148" i="4" s="1"/>
  <c r="I148" i="4"/>
  <c r="P148" i="4" s="1"/>
  <c r="L80" i="4"/>
  <c r="M80" i="4" s="1"/>
  <c r="I80" i="4"/>
  <c r="P80" i="4" s="1"/>
  <c r="I113" i="4"/>
  <c r="P113" i="4" s="1"/>
  <c r="L113" i="4"/>
  <c r="M113" i="4" s="1"/>
  <c r="L155" i="4"/>
  <c r="M155" i="4" s="1"/>
  <c r="I155" i="4"/>
  <c r="P155" i="4" s="1"/>
  <c r="L18" i="4"/>
  <c r="M18" i="4" s="1"/>
  <c r="I18" i="4"/>
  <c r="P18" i="4" s="1"/>
  <c r="L51" i="4"/>
  <c r="M51" i="4" s="1"/>
  <c r="I51" i="4"/>
  <c r="P51" i="4" s="1"/>
  <c r="L23" i="4"/>
  <c r="M23" i="4" s="1"/>
  <c r="I23" i="4"/>
  <c r="P23" i="4" s="1"/>
  <c r="L36" i="4"/>
  <c r="M36" i="4" s="1"/>
  <c r="I36" i="4"/>
  <c r="P36" i="4" s="1"/>
  <c r="L55" i="4"/>
  <c r="M55" i="4" s="1"/>
  <c r="I55" i="4"/>
  <c r="P55" i="4" s="1"/>
  <c r="L79" i="4"/>
  <c r="M79" i="4" s="1"/>
  <c r="I79" i="4"/>
  <c r="P79" i="4" s="1"/>
  <c r="L152" i="4"/>
  <c r="M152" i="4" s="1"/>
  <c r="I152" i="4"/>
  <c r="P152" i="4" s="1"/>
  <c r="L31" i="4"/>
  <c r="M31" i="4" s="1"/>
  <c r="I31" i="4"/>
  <c r="P31" i="4" s="1"/>
  <c r="L109" i="4"/>
  <c r="M109" i="4" s="1"/>
  <c r="I109" i="4"/>
  <c r="P109" i="4" s="1"/>
  <c r="L91" i="4"/>
  <c r="M91" i="4" s="1"/>
  <c r="I91" i="4"/>
  <c r="P91" i="4" s="1"/>
  <c r="I29" i="4"/>
  <c r="P29" i="4" s="1"/>
  <c r="L29" i="4"/>
  <c r="M29" i="4" s="1"/>
  <c r="L34" i="4"/>
  <c r="M34" i="4" s="1"/>
  <c r="I34" i="4"/>
  <c r="P34" i="4" s="1"/>
  <c r="L20" i="4"/>
  <c r="M20" i="4" s="1"/>
  <c r="I20" i="4"/>
  <c r="P20" i="4" s="1"/>
  <c r="L67" i="4"/>
  <c r="M67" i="4" s="1"/>
  <c r="I67" i="4"/>
  <c r="P67" i="4" s="1"/>
  <c r="I69" i="4"/>
  <c r="P69" i="4" s="1"/>
  <c r="L69" i="4"/>
  <c r="M69" i="4" s="1"/>
  <c r="L104" i="4"/>
  <c r="M104" i="4" s="1"/>
  <c r="I104" i="4"/>
  <c r="P104" i="4" s="1"/>
  <c r="L132" i="4"/>
  <c r="M132" i="4" s="1"/>
  <c r="I132" i="4"/>
  <c r="P132" i="4" s="1"/>
  <c r="L123" i="4"/>
  <c r="M123" i="4" s="1"/>
  <c r="I123" i="4"/>
  <c r="P123" i="4" s="1"/>
  <c r="L64" i="4"/>
  <c r="M64" i="4" s="1"/>
  <c r="I64" i="4"/>
  <c r="P64" i="4" s="1"/>
  <c r="L46" i="4"/>
  <c r="M46" i="4" s="1"/>
  <c r="I46" i="4"/>
  <c r="P46" i="4" s="1"/>
  <c r="I97" i="4"/>
  <c r="P97" i="4" s="1"/>
  <c r="L97" i="4"/>
  <c r="M97" i="4" s="1"/>
  <c r="L102" i="4"/>
  <c r="M102" i="4" s="1"/>
  <c r="I102" i="4"/>
  <c r="P102" i="4" s="1"/>
  <c r="L124" i="4"/>
  <c r="M124" i="4" s="1"/>
  <c r="I124" i="4"/>
  <c r="P124" i="4" s="1"/>
  <c r="L54" i="4"/>
  <c r="M54" i="4" s="1"/>
  <c r="I54" i="4"/>
  <c r="P54" i="4" s="1"/>
  <c r="L94" i="4"/>
  <c r="M94" i="4" s="1"/>
  <c r="I94" i="4"/>
  <c r="P94" i="4" s="1"/>
  <c r="I147" i="4"/>
  <c r="P147" i="4" s="1"/>
  <c r="L147" i="4"/>
  <c r="M147" i="4" s="1"/>
  <c r="L88" i="4"/>
  <c r="M88" i="4" s="1"/>
  <c r="I88" i="4"/>
  <c r="P88" i="4" s="1"/>
  <c r="L107" i="4"/>
  <c r="M107" i="4" s="1"/>
  <c r="I107" i="4"/>
  <c r="P107" i="4" s="1"/>
  <c r="L163" i="4"/>
  <c r="M163" i="4" s="1"/>
  <c r="I163" i="4"/>
  <c r="P163" i="4" s="1"/>
  <c r="L50" i="4"/>
  <c r="M50" i="4" s="1"/>
  <c r="I50" i="4"/>
  <c r="P50" i="4" s="1"/>
  <c r="I157" i="4"/>
  <c r="P157" i="4" s="1"/>
  <c r="L157" i="4"/>
  <c r="M157" i="4" s="1"/>
  <c r="L121" i="4"/>
  <c r="M121" i="4" s="1"/>
  <c r="I121" i="4"/>
  <c r="P121" i="4" s="1"/>
  <c r="I103" i="4"/>
  <c r="P103" i="4" s="1"/>
  <c r="L103" i="4"/>
  <c r="M103" i="4" s="1"/>
  <c r="L154" i="4"/>
  <c r="M154" i="4" s="1"/>
  <c r="I154" i="4"/>
  <c r="P154" i="4" s="1"/>
  <c r="I84" i="4"/>
  <c r="P84" i="4" s="1"/>
  <c r="L84" i="4"/>
  <c r="M84" i="4" s="1"/>
  <c r="I68" i="4"/>
  <c r="P68" i="4" s="1"/>
  <c r="L68" i="4"/>
  <c r="M68" i="4" s="1"/>
  <c r="I13" i="4"/>
  <c r="P13" i="4" s="1"/>
  <c r="L13" i="4"/>
  <c r="M13" i="4" s="1"/>
  <c r="L59" i="4"/>
  <c r="M59" i="4" s="1"/>
  <c r="I59" i="4"/>
  <c r="P59" i="4" s="1"/>
  <c r="L116" i="4"/>
  <c r="M116" i="4" s="1"/>
  <c r="I116" i="4"/>
  <c r="P116" i="4" s="1"/>
  <c r="L15" i="4"/>
  <c r="M15" i="4" s="1"/>
  <c r="I15" i="4"/>
  <c r="P15" i="4" s="1"/>
  <c r="L33" i="4"/>
  <c r="M33" i="4" s="1"/>
  <c r="I33" i="4"/>
  <c r="P33" i="4" s="1"/>
  <c r="L53" i="4"/>
  <c r="M53" i="4" s="1"/>
  <c r="I53" i="4"/>
  <c r="P53" i="4" s="1"/>
  <c r="L62" i="4"/>
  <c r="M62" i="4" s="1"/>
  <c r="I62" i="4"/>
  <c r="P62" i="4" s="1"/>
  <c r="I12" i="4"/>
  <c r="P12" i="4" s="1"/>
  <c r="L12" i="4"/>
  <c r="M12" i="4" s="1"/>
  <c r="L27" i="4"/>
  <c r="M27" i="4" s="1"/>
  <c r="I27" i="4"/>
  <c r="P27" i="4" s="1"/>
  <c r="L83" i="4"/>
  <c r="M83" i="4" s="1"/>
  <c r="I83" i="4"/>
  <c r="P83" i="4" s="1"/>
  <c r="I24" i="4"/>
  <c r="P24" i="4" s="1"/>
  <c r="L24" i="4"/>
  <c r="M24" i="4" s="1"/>
  <c r="I130" i="4"/>
  <c r="P130" i="4" s="1"/>
  <c r="L130" i="4"/>
  <c r="M130" i="4" s="1"/>
  <c r="L122" i="4"/>
  <c r="I122" i="4"/>
  <c r="P122" i="4" s="1"/>
  <c r="I160" i="4"/>
  <c r="P160" i="4" s="1"/>
  <c r="L160" i="4"/>
  <c r="M160" i="4" s="1"/>
  <c r="L126" i="4"/>
  <c r="I126" i="4"/>
  <c r="P126" i="4" s="1"/>
  <c r="I57" i="4"/>
  <c r="P57" i="4" s="1"/>
  <c r="L57" i="4"/>
  <c r="M57" i="4" s="1"/>
  <c r="L76" i="4"/>
  <c r="M76" i="4" s="1"/>
  <c r="I76" i="4"/>
  <c r="P76" i="4" s="1"/>
  <c r="L90" i="4"/>
  <c r="M90" i="4" s="1"/>
  <c r="I90" i="4"/>
  <c r="P90" i="4" s="1"/>
  <c r="L86" i="4"/>
  <c r="M86" i="4" s="1"/>
  <c r="I86" i="4"/>
  <c r="P86" i="4" s="1"/>
  <c r="I28" i="4"/>
  <c r="P28" i="4" s="1"/>
  <c r="L28" i="4"/>
  <c r="M28" i="4" s="1"/>
  <c r="L119" i="4"/>
  <c r="M119" i="4" s="1"/>
  <c r="I119" i="4"/>
  <c r="P119" i="4" s="1"/>
  <c r="L146" i="4"/>
  <c r="M146" i="4" s="1"/>
  <c r="I146" i="4"/>
  <c r="P146" i="4" s="1"/>
  <c r="L118" i="4"/>
  <c r="M118" i="4" s="1"/>
  <c r="I118" i="4"/>
  <c r="P118" i="4" s="1"/>
  <c r="I143" i="4"/>
  <c r="P143" i="4" s="1"/>
  <c r="L143" i="4"/>
  <c r="M143" i="4" s="1"/>
  <c r="L120" i="4"/>
  <c r="M120" i="4" s="1"/>
  <c r="I120" i="4"/>
  <c r="P120" i="4" s="1"/>
  <c r="L134" i="4"/>
  <c r="M134" i="4" s="1"/>
  <c r="I134" i="4"/>
  <c r="P134" i="4" s="1"/>
  <c r="I159" i="4"/>
  <c r="P159" i="4" s="1"/>
  <c r="L159" i="4"/>
  <c r="M159" i="4" s="1"/>
  <c r="L78" i="4"/>
  <c r="M78" i="4" s="1"/>
  <c r="I78" i="4"/>
  <c r="P78" i="4" s="1"/>
  <c r="L137" i="4"/>
  <c r="M137" i="4" s="1"/>
  <c r="I137" i="4"/>
  <c r="P137" i="4" s="1"/>
  <c r="L19" i="4"/>
  <c r="M19" i="4" s="1"/>
  <c r="I19" i="4"/>
  <c r="P19" i="4" s="1"/>
  <c r="L164" i="4"/>
  <c r="M164" i="4" s="1"/>
  <c r="I164" i="4"/>
  <c r="P164" i="4" s="1"/>
  <c r="L153" i="4"/>
  <c r="M153" i="4" s="1"/>
  <c r="I153" i="4"/>
  <c r="P153" i="4" s="1"/>
  <c r="L81" i="4"/>
  <c r="M81" i="4" s="1"/>
  <c r="I81" i="4"/>
  <c r="P81" i="4" s="1"/>
  <c r="L32" i="4"/>
  <c r="M32" i="4" s="1"/>
  <c r="I32" i="4"/>
  <c r="P32" i="4" s="1"/>
  <c r="L95" i="4"/>
  <c r="M95" i="4" s="1"/>
  <c r="I95" i="4"/>
  <c r="P95" i="4" s="1"/>
  <c r="L144" i="4"/>
  <c r="M144" i="4" s="1"/>
  <c r="I144" i="4"/>
  <c r="P144" i="4" s="1"/>
  <c r="L45" i="4"/>
  <c r="M45" i="4" s="1"/>
  <c r="I45" i="4"/>
  <c r="P45" i="4" s="1"/>
  <c r="L26" i="4"/>
  <c r="M26" i="4" s="1"/>
  <c r="I26" i="4"/>
  <c r="P26" i="4" s="1"/>
  <c r="L21" i="4"/>
  <c r="M21" i="4" s="1"/>
  <c r="I21" i="4"/>
  <c r="P21" i="4" s="1"/>
  <c r="L125" i="4"/>
  <c r="M125" i="4" s="1"/>
  <c r="I125" i="4"/>
  <c r="P125" i="4" s="1"/>
  <c r="L92" i="4"/>
  <c r="M92" i="4" s="1"/>
  <c r="I92" i="4"/>
  <c r="P92" i="4" s="1"/>
  <c r="L82" i="4"/>
  <c r="M82" i="4" s="1"/>
  <c r="I82" i="4"/>
  <c r="P82" i="4" s="1"/>
  <c r="L133" i="4"/>
  <c r="M133" i="4" s="1"/>
  <c r="I133" i="4"/>
  <c r="P133" i="4" s="1"/>
  <c r="I115" i="4"/>
  <c r="P115" i="4" s="1"/>
  <c r="L115" i="4"/>
  <c r="M115" i="4" s="1"/>
  <c r="I56" i="4"/>
  <c r="P56" i="4" s="1"/>
  <c r="L56" i="4"/>
  <c r="M56" i="4" s="1"/>
  <c r="L11" i="4"/>
  <c r="M11" i="4" s="1"/>
  <c r="I11" i="4"/>
  <c r="P11" i="4" s="1"/>
  <c r="J78" i="4" l="1"/>
  <c r="K78" i="4" s="1"/>
  <c r="J15" i="4"/>
  <c r="K15" i="4" s="1"/>
  <c r="J34" i="4"/>
  <c r="K34" i="4" s="1"/>
  <c r="J110" i="4"/>
  <c r="K110" i="4" s="1"/>
  <c r="J143" i="4"/>
  <c r="K143" i="4" s="1"/>
  <c r="J28" i="4"/>
  <c r="K28" i="4" s="1"/>
  <c r="J130" i="4"/>
  <c r="K130" i="4" s="1"/>
  <c r="J12" i="4"/>
  <c r="K12" i="4" s="1"/>
  <c r="J68" i="4"/>
  <c r="K68" i="4" s="1"/>
  <c r="J40" i="4"/>
  <c r="K40" i="4" s="1"/>
  <c r="J131" i="4"/>
  <c r="K131" i="4" s="1"/>
  <c r="J74" i="4"/>
  <c r="K74" i="4" s="1"/>
  <c r="J153" i="4"/>
  <c r="K153" i="4" s="1"/>
  <c r="J31" i="4"/>
  <c r="K31" i="4" s="1"/>
  <c r="J127" i="4"/>
  <c r="K127" i="4" s="1"/>
  <c r="J37" i="4"/>
  <c r="K37" i="4" s="1"/>
  <c r="J47" i="4"/>
  <c r="K47" i="4" s="1"/>
  <c r="J66" i="4"/>
  <c r="K66" i="4" s="1"/>
  <c r="J115" i="4"/>
  <c r="K115" i="4" s="1"/>
  <c r="J57" i="4"/>
  <c r="K57" i="4" s="1"/>
  <c r="J133" i="4"/>
  <c r="K133" i="4" s="1"/>
  <c r="J21" i="4"/>
  <c r="K21" i="4" s="1"/>
  <c r="J95" i="4"/>
  <c r="K95" i="4" s="1"/>
  <c r="J164" i="4"/>
  <c r="K164" i="4" s="1"/>
  <c r="J118" i="4"/>
  <c r="K118" i="4" s="1"/>
  <c r="J86" i="4"/>
  <c r="K86" i="4" s="1"/>
  <c r="J126" i="4"/>
  <c r="K126" i="4" s="1"/>
  <c r="J62" i="4"/>
  <c r="K62" i="4" s="1"/>
  <c r="J116" i="4"/>
  <c r="K116" i="4" s="1"/>
  <c r="J88" i="4"/>
  <c r="K88" i="4" s="1"/>
  <c r="J124" i="4"/>
  <c r="K124" i="4" s="1"/>
  <c r="J64" i="4"/>
  <c r="K64" i="4" s="1"/>
  <c r="J152" i="4"/>
  <c r="K152" i="4" s="1"/>
  <c r="J23" i="4"/>
  <c r="K23" i="4" s="1"/>
  <c r="J166" i="4"/>
  <c r="K166" i="4" s="1"/>
  <c r="J161" i="4"/>
  <c r="K161" i="4" s="1"/>
  <c r="J96" i="4"/>
  <c r="K96" i="4" s="1"/>
  <c r="J52" i="4"/>
  <c r="K52" i="4" s="1"/>
  <c r="J39" i="4"/>
  <c r="K39" i="4" s="1"/>
  <c r="J70" i="4"/>
  <c r="K70" i="4" s="1"/>
  <c r="J108" i="4"/>
  <c r="K108" i="4" s="1"/>
  <c r="J35" i="4"/>
  <c r="K35" i="4" s="1"/>
  <c r="J162" i="4"/>
  <c r="K162" i="4" s="1"/>
  <c r="J151" i="4"/>
  <c r="K151" i="4" s="1"/>
  <c r="J89" i="4"/>
  <c r="K89" i="4" s="1"/>
  <c r="J105" i="4"/>
  <c r="K105" i="4" s="1"/>
  <c r="J49" i="4"/>
  <c r="K49" i="4" s="1"/>
  <c r="J44" i="4"/>
  <c r="K44" i="4" s="1"/>
  <c r="J150" i="4"/>
  <c r="K150" i="4" s="1"/>
  <c r="J14" i="4"/>
  <c r="K14" i="4" s="1"/>
  <c r="J99" i="4"/>
  <c r="K99" i="4" s="1"/>
  <c r="J125" i="4"/>
  <c r="K125" i="4" s="1"/>
  <c r="J46" i="4"/>
  <c r="K46" i="4" s="1"/>
  <c r="J36" i="4"/>
  <c r="K36" i="4" s="1"/>
  <c r="J63" i="4"/>
  <c r="K63" i="4" s="1"/>
  <c r="J38" i="4"/>
  <c r="K38" i="4" s="1"/>
  <c r="J135" i="4"/>
  <c r="K135" i="4" s="1"/>
  <c r="J22" i="4"/>
  <c r="K22" i="4" s="1"/>
  <c r="J24" i="4"/>
  <c r="K24" i="4" s="1"/>
  <c r="J84" i="4"/>
  <c r="K84" i="4" s="1"/>
  <c r="J157" i="4"/>
  <c r="K157" i="4" s="1"/>
  <c r="J69" i="4"/>
  <c r="K69" i="4" s="1"/>
  <c r="J29" i="4"/>
  <c r="K29" i="4" s="1"/>
  <c r="J113" i="4"/>
  <c r="K113" i="4" s="1"/>
  <c r="J42" i="4"/>
  <c r="K42" i="4" s="1"/>
  <c r="J107" i="4"/>
  <c r="K107" i="4" s="1"/>
  <c r="J17" i="4"/>
  <c r="K17" i="4" s="1"/>
  <c r="J140" i="4"/>
  <c r="K140" i="4" s="1"/>
  <c r="J159" i="4"/>
  <c r="K159" i="4" s="1"/>
  <c r="J11" i="4"/>
  <c r="K11" i="4" s="1"/>
  <c r="J82" i="4"/>
  <c r="K82" i="4" s="1"/>
  <c r="J26" i="4"/>
  <c r="K26" i="4" s="1"/>
  <c r="J32" i="4"/>
  <c r="K32" i="4" s="1"/>
  <c r="J19" i="4"/>
  <c r="K19" i="4" s="1"/>
  <c r="J134" i="4"/>
  <c r="K134" i="4" s="1"/>
  <c r="J146" i="4"/>
  <c r="K146" i="4" s="1"/>
  <c r="J90" i="4"/>
  <c r="K90" i="4" s="1"/>
  <c r="J83" i="4"/>
  <c r="K83" i="4" s="1"/>
  <c r="J53" i="4"/>
  <c r="K53" i="4" s="1"/>
  <c r="J59" i="4"/>
  <c r="K59" i="4" s="1"/>
  <c r="J154" i="4"/>
  <c r="K154" i="4" s="1"/>
  <c r="J50" i="4"/>
  <c r="K50" i="4" s="1"/>
  <c r="J102" i="4"/>
  <c r="K102" i="4" s="1"/>
  <c r="J123" i="4"/>
  <c r="K123" i="4" s="1"/>
  <c r="J67" i="4"/>
  <c r="K67" i="4" s="1"/>
  <c r="J91" i="4"/>
  <c r="K91" i="4" s="1"/>
  <c r="J79" i="4"/>
  <c r="K79" i="4" s="1"/>
  <c r="J51" i="4"/>
  <c r="K51" i="4" s="1"/>
  <c r="J80" i="4"/>
  <c r="K80" i="4" s="1"/>
  <c r="J117" i="4"/>
  <c r="K117" i="4" s="1"/>
  <c r="J77" i="4"/>
  <c r="K77" i="4" s="1"/>
  <c r="J145" i="4"/>
  <c r="K145" i="4" s="1"/>
  <c r="J98" i="4"/>
  <c r="K98" i="4" s="1"/>
  <c r="J93" i="4"/>
  <c r="K93" i="4" s="1"/>
  <c r="J112" i="4"/>
  <c r="K112" i="4" s="1"/>
  <c r="J136" i="4"/>
  <c r="K136" i="4" s="1"/>
  <c r="J165" i="4"/>
  <c r="K165" i="4" s="1"/>
  <c r="J30" i="4"/>
  <c r="K30" i="4" s="1"/>
  <c r="J142" i="4"/>
  <c r="K142" i="4" s="1"/>
  <c r="J71" i="4"/>
  <c r="K71" i="4" s="1"/>
  <c r="J100" i="4"/>
  <c r="K100" i="4" s="1"/>
  <c r="J139" i="4"/>
  <c r="K139" i="4" s="1"/>
  <c r="J144" i="4"/>
  <c r="K144" i="4" s="1"/>
  <c r="J104" i="4"/>
  <c r="K104" i="4" s="1"/>
  <c r="J155" i="4"/>
  <c r="K155" i="4" s="1"/>
  <c r="J73" i="4"/>
  <c r="K73" i="4" s="1"/>
  <c r="J75" i="4"/>
  <c r="K75" i="4" s="1"/>
  <c r="J106" i="4"/>
  <c r="K106" i="4" s="1"/>
  <c r="J160" i="4"/>
  <c r="K160" i="4" s="1"/>
  <c r="J147" i="4"/>
  <c r="K147" i="4" s="1"/>
  <c r="J41" i="4"/>
  <c r="K41" i="4" s="1"/>
  <c r="J87" i="4"/>
  <c r="K87" i="4" s="1"/>
  <c r="J129" i="4"/>
  <c r="K129" i="4" s="1"/>
  <c r="J85" i="4"/>
  <c r="K85" i="4" s="1"/>
  <c r="J121" i="4"/>
  <c r="K121" i="4" s="1"/>
  <c r="J92" i="4"/>
  <c r="K92" i="4" s="1"/>
  <c r="J45" i="4"/>
  <c r="K45" i="4" s="1"/>
  <c r="J81" i="4"/>
  <c r="K81" i="4" s="1"/>
  <c r="J137" i="4"/>
  <c r="K137" i="4" s="1"/>
  <c r="J120" i="4"/>
  <c r="K120" i="4" s="1"/>
  <c r="J119" i="4"/>
  <c r="K119" i="4" s="1"/>
  <c r="J76" i="4"/>
  <c r="K76" i="4" s="1"/>
  <c r="J122" i="4"/>
  <c r="K122" i="4" s="1"/>
  <c r="J27" i="4"/>
  <c r="K27" i="4" s="1"/>
  <c r="J33" i="4"/>
  <c r="K33" i="4" s="1"/>
  <c r="J163" i="4"/>
  <c r="K163" i="4" s="1"/>
  <c r="J94" i="4"/>
  <c r="K94" i="4" s="1"/>
  <c r="J132" i="4"/>
  <c r="K132" i="4" s="1"/>
  <c r="J20" i="4"/>
  <c r="K20" i="4" s="1"/>
  <c r="J109" i="4"/>
  <c r="K109" i="4" s="1"/>
  <c r="J55" i="4"/>
  <c r="K55" i="4" s="1"/>
  <c r="J18" i="4"/>
  <c r="K18" i="4" s="1"/>
  <c r="J148" i="4"/>
  <c r="K148" i="4" s="1"/>
  <c r="J43" i="4"/>
  <c r="K43" i="4" s="1"/>
  <c r="J128" i="4"/>
  <c r="K128" i="4" s="1"/>
  <c r="J72" i="4"/>
  <c r="K72" i="4" s="1"/>
  <c r="J60" i="4"/>
  <c r="K60" i="4" s="1"/>
  <c r="J65" i="4"/>
  <c r="K65" i="4" s="1"/>
  <c r="J149" i="4"/>
  <c r="K149" i="4" s="1"/>
  <c r="J158" i="4"/>
  <c r="K158" i="4" s="1"/>
  <c r="J111" i="4"/>
  <c r="K111" i="4" s="1"/>
  <c r="J156" i="4"/>
  <c r="K156" i="4" s="1"/>
  <c r="J138" i="4"/>
  <c r="K138" i="4" s="1"/>
  <c r="J16" i="4"/>
  <c r="K16" i="4" s="1"/>
  <c r="J48" i="4"/>
  <c r="K48" i="4" s="1"/>
  <c r="J58" i="4"/>
  <c r="K58" i="4" s="1"/>
  <c r="J61" i="4"/>
  <c r="K61" i="4" s="1"/>
  <c r="J25" i="4"/>
  <c r="K25" i="4" s="1"/>
  <c r="J54" i="4"/>
  <c r="K54" i="4" s="1"/>
  <c r="J101" i="4"/>
  <c r="K101" i="4" s="1"/>
  <c r="J56" i="4"/>
  <c r="K56" i="4" s="1"/>
  <c r="J13" i="4"/>
  <c r="K13" i="4" s="1"/>
  <c r="J103" i="4"/>
  <c r="K103" i="4" s="1"/>
  <c r="J97" i="4"/>
  <c r="K97" i="4" s="1"/>
  <c r="J141" i="4"/>
  <c r="K141" i="4" s="1"/>
  <c r="J114" i="4"/>
  <c r="K114" i="4" s="1"/>
  <c r="N32" i="6"/>
  <c r="N33" i="6" s="1"/>
  <c r="O33" i="6" s="1"/>
  <c r="P32" i="6"/>
  <c r="M122" i="4"/>
  <c r="G32" i="6"/>
  <c r="G34" i="6"/>
  <c r="G31" i="6"/>
  <c r="G30" i="6"/>
  <c r="J24" i="6" s="1"/>
  <c r="J30" i="6" s="1"/>
  <c r="G33" i="6"/>
  <c r="M128" i="4"/>
  <c r="M126" i="4"/>
  <c r="Q32" i="6" l="1"/>
  <c r="P33" i="6"/>
  <c r="Q33" i="6" s="1"/>
  <c r="J32" i="6"/>
  <c r="J34" i="6" s="1"/>
  <c r="J35" i="6" s="1"/>
  <c r="N26" i="6"/>
  <c r="N28" i="6" s="1"/>
  <c r="J33" i="6" l="1"/>
  <c r="B24" i="72" l="1"/>
  <c r="B25" i="72" s="1"/>
  <c r="B21" i="7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O3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Corsa di rebound disponibile dell'ammortizzatore.</t>
        </r>
      </text>
    </comment>
    <comment ref="Q3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Corsa disponibile dell'ammortizzatore in bump.</t>
        </r>
      </text>
    </comment>
    <comment ref="J32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Lunghezza di precarico</t>
        </r>
      </text>
    </comment>
    <comment ref="O32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Compressione statica della molla e quindi corsa di rebound.</t>
        </r>
      </text>
    </comment>
    <comment ref="Q32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Corsa disponibile della molla in bump.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N3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Corsa di rebound disponibile dell'ammortizzatore.</t>
        </r>
      </text>
    </comment>
    <comment ref="P3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Corsa disponibile dell'ammortizzatore in bump.</t>
        </r>
      </text>
    </comment>
    <comment ref="N32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Compressione statica della molla e quindi corsa di rebound.</t>
        </r>
      </text>
    </comment>
    <comment ref="P32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Corsa disponibile della molla in bump.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6" authorId="0" shapeId="0" xr:uid="{00000000-0006-0000-0800-000001000000}">
      <text>
        <r>
          <rPr>
            <sz val="9"/>
            <color indexed="81"/>
            <rFont val="Tahoma"/>
            <family val="2"/>
          </rPr>
          <t xml:space="preserve">N.B.:  se c &lt;   7  la molla è molto rigida e sollecitata
 se c &gt; 12  la molla è flessibile e poco sfruttata 
</t>
        </r>
      </text>
    </comment>
  </commentList>
</comments>
</file>

<file path=xl/sharedStrings.xml><?xml version="1.0" encoding="utf-8"?>
<sst xmlns="http://schemas.openxmlformats.org/spreadsheetml/2006/main" count="795" uniqueCount="269">
  <si>
    <t>Massa Veicolo</t>
  </si>
  <si>
    <t>[kg]</t>
  </si>
  <si>
    <t>Massa passeggeri</t>
  </si>
  <si>
    <t>Massa carburante</t>
  </si>
  <si>
    <t>Massa totale</t>
  </si>
  <si>
    <t>Ripartizione massa ant</t>
  </si>
  <si>
    <t>Ripartizione massa post</t>
  </si>
  <si>
    <t>Massa assale ant</t>
  </si>
  <si>
    <t>Massa assale post</t>
  </si>
  <si>
    <t>Damper ratio (Highway)</t>
  </si>
  <si>
    <t>Frequenza moti di cassa</t>
  </si>
  <si>
    <t>[Hz]</t>
  </si>
  <si>
    <t>[N/mm]</t>
  </si>
  <si>
    <t>P4/5 Competizione m</t>
  </si>
  <si>
    <t>Rigidezza molla posteriore (1 g.d.l.)</t>
  </si>
  <si>
    <t>Rigidezza verticale pneumatico</t>
  </si>
  <si>
    <t>Rigidezza molla posteriore (2 g.d.l.)</t>
  </si>
  <si>
    <t>Massa non sospesa assale ant</t>
  </si>
  <si>
    <t>Massa non sospesa assale post</t>
  </si>
  <si>
    <t>Frequenza massa non sospesa post.</t>
  </si>
  <si>
    <t>Travel</t>
  </si>
  <si>
    <t>Bump</t>
  </si>
  <si>
    <t>Rebound</t>
  </si>
  <si>
    <t>Highway</t>
  </si>
  <si>
    <t>Standard</t>
  </si>
  <si>
    <t>Offroad</t>
  </si>
  <si>
    <t>Wheel center travel</t>
  </si>
  <si>
    <t>Spring travel</t>
  </si>
  <si>
    <t>Spring rate [N/mm]</t>
  </si>
  <si>
    <t>Free length [mm]</t>
  </si>
  <si>
    <t>Wire diameter [mm]</t>
  </si>
  <si>
    <t>Max spring travel Sn [mm]</t>
  </si>
  <si>
    <t>Part-No.</t>
  </si>
  <si>
    <t>Inner diameter 51mm</t>
  </si>
  <si>
    <t>Inner diameter 61mm</t>
  </si>
  <si>
    <t>Inner diameter 71mm</t>
  </si>
  <si>
    <t>Spring static travel [mm]</t>
  </si>
  <si>
    <t>OK/KO</t>
  </si>
  <si>
    <t>Static spring length</t>
  </si>
  <si>
    <t>Rebound travel</t>
  </si>
  <si>
    <t xml:space="preserve"> </t>
  </si>
  <si>
    <t>[N]</t>
  </si>
  <si>
    <t>Damper ratio</t>
  </si>
  <si>
    <t>[mm]</t>
  </si>
  <si>
    <r>
      <t xml:space="preserve">Strut housing length </t>
    </r>
    <r>
      <rPr>
        <b/>
        <sz val="11"/>
        <color rgb="FFFF0000"/>
        <rFont val="Calibri"/>
        <family val="2"/>
        <scheme val="minor"/>
      </rPr>
      <t>C</t>
    </r>
    <r>
      <rPr>
        <b/>
        <sz val="11"/>
        <color theme="1"/>
        <rFont val="Calibri"/>
        <family val="2"/>
        <scheme val="minor"/>
      </rPr>
      <t xml:space="preserve"> [mm]</t>
    </r>
  </si>
  <si>
    <r>
      <t xml:space="preserve">Stroke </t>
    </r>
    <r>
      <rPr>
        <b/>
        <sz val="11"/>
        <color rgb="FFFF0000"/>
        <rFont val="Calibri"/>
        <family val="2"/>
        <scheme val="minor"/>
      </rPr>
      <t>B</t>
    </r>
    <r>
      <rPr>
        <b/>
        <sz val="11"/>
        <color theme="1"/>
        <rFont val="Calibri"/>
        <family val="2"/>
        <scheme val="minor"/>
      </rPr>
      <t xml:space="preserve"> [mm]</t>
    </r>
  </si>
  <si>
    <t>D</t>
  </si>
  <si>
    <t>E</t>
  </si>
  <si>
    <t>F</t>
  </si>
  <si>
    <t>G</t>
  </si>
  <si>
    <t>A</t>
  </si>
  <si>
    <t>Other dimensions [mm]</t>
  </si>
  <si>
    <t>L_actuator</t>
  </si>
  <si>
    <t>Stroke</t>
  </si>
  <si>
    <t>Helper springs</t>
  </si>
  <si>
    <t>Inner diameter 51 mm</t>
  </si>
  <si>
    <t>Inner diameter 61 mm</t>
  </si>
  <si>
    <t>Inner diameter 71 mm</t>
  </si>
  <si>
    <t>Max spring travel [mm]</t>
  </si>
  <si>
    <t>Part - No.</t>
  </si>
  <si>
    <t>INBOARD</t>
  </si>
  <si>
    <t>Spring static length</t>
  </si>
  <si>
    <t>H</t>
  </si>
  <si>
    <t>Helper static legth</t>
  </si>
  <si>
    <t>Coilover pack</t>
  </si>
  <si>
    <t>C</t>
  </si>
  <si>
    <t>B</t>
  </si>
  <si>
    <t>Coilover desired static length [mm]</t>
  </si>
  <si>
    <t>BUMP TRAVEL [mm]</t>
  </si>
  <si>
    <t>REBOUND TRAVEL [mm]</t>
  </si>
  <si>
    <t>Max wheel center travel</t>
  </si>
  <si>
    <t>delta_tyre_radius</t>
  </si>
  <si>
    <t>Unused travel [mm]</t>
  </si>
  <si>
    <t>Color code</t>
  </si>
  <si>
    <t>Formula result</t>
  </si>
  <si>
    <t>Input data</t>
  </si>
  <si>
    <t>Delta height</t>
  </si>
  <si>
    <t>Susp. Point vertical translation</t>
  </si>
  <si>
    <t>Constrained input data</t>
  </si>
  <si>
    <t>Result = OK</t>
  </si>
  <si>
    <t>Result = KO</t>
  </si>
  <si>
    <t>Coilover static pack length</t>
  </si>
  <si>
    <t xml:space="preserve">  </t>
  </si>
  <si>
    <t>STOPS LENGTH</t>
  </si>
  <si>
    <t>Max static pack length allowed</t>
  </si>
  <si>
    <t>Coilover pack length in max rebound - allowed by strut</t>
  </si>
  <si>
    <t>Coilover pack length in max rebound - considering rebound stop</t>
  </si>
  <si>
    <t>Index</t>
  </si>
  <si>
    <t>FULL REBOUND SPRING CHECK</t>
  </si>
  <si>
    <t>Coilover pack free length</t>
  </si>
  <si>
    <t>Spring compression needed when assembling</t>
  </si>
  <si>
    <t>Wheel center pre-bump in std. static condition</t>
  </si>
  <si>
    <t>KW advised spring rates</t>
  </si>
  <si>
    <t>Front</t>
  </si>
  <si>
    <t>Rear</t>
  </si>
  <si>
    <t>Static damper ratio</t>
  </si>
  <si>
    <t>SELECTED SPRINGS</t>
  </si>
  <si>
    <t>mm</t>
  </si>
  <si>
    <t>Preload decrease adjustment [R]</t>
  </si>
  <si>
    <t>Preload decrease adjustment</t>
  </si>
  <si>
    <t>Preload increase adjustment</t>
  </si>
  <si>
    <t>Ride height</t>
  </si>
  <si>
    <t>From multibody</t>
  </si>
  <si>
    <t>Damper ratio (Standard)</t>
  </si>
  <si>
    <t>Frequenza moti di cassa (Standard)</t>
  </si>
  <si>
    <t>correction</t>
  </si>
  <si>
    <t>Bump travel</t>
  </si>
  <si>
    <t>Race</t>
  </si>
  <si>
    <t>Street</t>
  </si>
  <si>
    <t>Lift</t>
  </si>
  <si>
    <t>D_tyre_race</t>
  </si>
  <si>
    <t>D_tyre_road</t>
  </si>
  <si>
    <t>d-race</t>
  </si>
  <si>
    <t>NO HLS</t>
  </si>
  <si>
    <t>Rear axle mass</t>
  </si>
  <si>
    <t>tot</t>
  </si>
  <si>
    <t>Corsa dell'ammortizzatore</t>
  </si>
  <si>
    <t>Corsa della molla</t>
  </si>
  <si>
    <t>Scuotimento della ruota in funzione dello scuotimento della molla</t>
  </si>
  <si>
    <t>Scuotimento della ruota in funzione dello scuotimento dell'ammortizzatore</t>
  </si>
  <si>
    <t>Motion ratio</t>
  </si>
  <si>
    <t>Wheel travel while driving [mm]</t>
  </si>
  <si>
    <t>WheelTravelFL</t>
  </si>
  <si>
    <t>WheelTravelFR</t>
  </si>
  <si>
    <t>WheelTravelRL</t>
  </si>
  <si>
    <t>WheelTravelRR</t>
  </si>
  <si>
    <t>Max Bump</t>
  </si>
  <si>
    <t>Max Rebound</t>
  </si>
  <si>
    <t>Front Wheels needed travel</t>
  </si>
  <si>
    <t>Rear Wheels needed travel</t>
  </si>
  <si>
    <t>Front Wheel envelope r01</t>
  </si>
  <si>
    <t>Rear Wheel envelope r01</t>
  </si>
  <si>
    <t>MaxBump - No steer:</t>
  </si>
  <si>
    <t>Max rebound con ruote estese sui cavalletti:</t>
  </si>
  <si>
    <t>Rigidezza a terra (2 g.d.l.)</t>
  </si>
  <si>
    <t>Rigidezza a terra (1 g.d.l.)</t>
  </si>
  <si>
    <t>Motion ratio (Standard)</t>
  </si>
  <si>
    <t>Rigidezza molla anteriore (1 g.d.l.)</t>
  </si>
  <si>
    <t>Rigidezza molla anteriore (2 g.d.l.)</t>
  </si>
  <si>
    <t>Frequenza massa non sospesa ant.</t>
  </si>
  <si>
    <t>Rigidezza a terra ant. (2g.d.l.)</t>
  </si>
  <si>
    <t>Rigidezza a terra (2 g.d.l.) Corner</t>
  </si>
  <si>
    <t>Front axle mass</t>
  </si>
  <si>
    <t>Spring travel after max bump</t>
  </si>
  <si>
    <t>Spring left travel after max bump</t>
  </si>
  <si>
    <t>Parameters</t>
  </si>
  <si>
    <t>c</t>
  </si>
  <si>
    <t>[]</t>
  </si>
  <si>
    <t>Characteristic ratio (7 or 12)</t>
  </si>
  <si>
    <t>Note</t>
  </si>
  <si>
    <t>Unit</t>
  </si>
  <si>
    <t>λ'</t>
  </si>
  <si>
    <t>λ''</t>
  </si>
  <si>
    <t>d</t>
  </si>
  <si>
    <t>From graph</t>
  </si>
  <si>
    <t>i</t>
  </si>
  <si>
    <t>n</t>
  </si>
  <si>
    <t>Number of coils</t>
  </si>
  <si>
    <t>Type of end</t>
  </si>
  <si>
    <t>L_0</t>
  </si>
  <si>
    <t>Free length</t>
  </si>
  <si>
    <t>p</t>
  </si>
  <si>
    <t>Pitch</t>
  </si>
  <si>
    <t>L_b</t>
  </si>
  <si>
    <t>Minimum Length</t>
  </si>
  <si>
    <t>g_res</t>
  </si>
  <si>
    <t>Residual play among coils (adv. d/4)</t>
  </si>
  <si>
    <t>L_min</t>
  </si>
  <si>
    <t>τ_max</t>
  </si>
  <si>
    <t>[MPa]</t>
  </si>
  <si>
    <t>f</t>
  </si>
  <si>
    <t>Young Modulus</t>
  </si>
  <si>
    <t>Poisson ratio</t>
  </si>
  <si>
    <t>ν</t>
  </si>
  <si>
    <t>k</t>
  </si>
  <si>
    <t>Stiffness</t>
  </si>
  <si>
    <t>Number of active coils</t>
  </si>
  <si>
    <t>Calcolo online</t>
  </si>
  <si>
    <t>Rigidezza a terra corrispettiva 1 g.d.l. [N/mm]</t>
  </si>
  <si>
    <t>G su molla @ max bump</t>
  </si>
  <si>
    <t>Rigidezza a terra post (2 g.d.l.)</t>
  </si>
  <si>
    <t>Static</t>
  </si>
  <si>
    <t>Damper length [mm] from CAD</t>
  </si>
  <si>
    <t>Bump (60)</t>
  </si>
  <si>
    <t>Rebound (-30)</t>
  </si>
  <si>
    <t>Rebound (-60)</t>
  </si>
  <si>
    <t>Front RCH</t>
  </si>
  <si>
    <t>CGH</t>
  </si>
  <si>
    <t>Rear RCH</t>
  </si>
  <si>
    <t>Rear roll moment arm</t>
  </si>
  <si>
    <t>Front roll moment arm</t>
  </si>
  <si>
    <t>[ratio]</t>
  </si>
  <si>
    <t>[Nm/deg]</t>
  </si>
  <si>
    <t>[Nm/g]</t>
  </si>
  <si>
    <t>Mass</t>
  </si>
  <si>
    <t>Front balance</t>
  </si>
  <si>
    <t>Front spring motion ratio</t>
  </si>
  <si>
    <t>Rear spring motion ratio</t>
  </si>
  <si>
    <t>Front delta jounce</t>
  </si>
  <si>
    <t>Rear delta jounce</t>
  </si>
  <si>
    <t>[%]</t>
  </si>
  <si>
    <t>[mm/deg]</t>
  </si>
  <si>
    <t>Front spring stiffness</t>
  </si>
  <si>
    <t>Rear spring stiffness</t>
  </si>
  <si>
    <t>Front Track</t>
  </si>
  <si>
    <t>Rear Track</t>
  </si>
  <si>
    <t>Front moment balance</t>
  </si>
  <si>
    <t>Rear moment</t>
  </si>
  <si>
    <t xml:space="preserve">Front moment </t>
  </si>
  <si>
    <t>[N/deg]</t>
  </si>
  <si>
    <t>Front elastic roll stiffness</t>
  </si>
  <si>
    <t>Rear elastic roll stiffness</t>
  </si>
  <si>
    <t>Milliken simplified front ΔFz vs ay</t>
  </si>
  <si>
    <t>Milliken simplified rear ΔFz vs ay</t>
  </si>
  <si>
    <t>Front roll stiffness balance</t>
  </si>
  <si>
    <t>Front delta force balance</t>
  </si>
  <si>
    <t>Total roll gradient (without AR)</t>
  </si>
  <si>
    <t>deg/g</t>
  </si>
  <si>
    <t>Front ARB</t>
  </si>
  <si>
    <t>Rear ARB</t>
  </si>
  <si>
    <t>Front elastic roll stiffness (w ARB)</t>
  </si>
  <si>
    <t>Rear elastic roll stiffness (w ARB)</t>
  </si>
  <si>
    <t>Front roll stiffness balance (w ARB)</t>
  </si>
  <si>
    <t>[N/g]</t>
  </si>
  <si>
    <t>Balance without ARBs</t>
  </si>
  <si>
    <t>Balance with ARBs</t>
  </si>
  <si>
    <t>Front delta force (ΔFz)</t>
  </si>
  <si>
    <t>Rear delta force (ΔFz)</t>
  </si>
  <si>
    <t>b/L</t>
  </si>
  <si>
    <t>m</t>
  </si>
  <si>
    <t>Kf</t>
  </si>
  <si>
    <t>Kr</t>
  </si>
  <si>
    <t>χ front</t>
  </si>
  <si>
    <t>χ rear</t>
  </si>
  <si>
    <t>ΔFz front</t>
  </si>
  <si>
    <t>ΔFz rear</t>
  </si>
  <si>
    <t>Sum</t>
  </si>
  <si>
    <t>Front ΔFz ratio</t>
  </si>
  <si>
    <t>Front Fz ratio</t>
  </si>
  <si>
    <t>ay</t>
  </si>
  <si>
    <t>Tf</t>
  </si>
  <si>
    <t>Tr</t>
  </si>
  <si>
    <t>hG</t>
  </si>
  <si>
    <t>RCHf</t>
  </si>
  <si>
    <t>RCHr</t>
  </si>
  <si>
    <t>a/L</t>
  </si>
  <si>
    <t>Fz front</t>
  </si>
  <si>
    <t>Fz rear</t>
  </si>
  <si>
    <t>guess</t>
  </si>
  <si>
    <t>SCG004C</t>
  </si>
  <si>
    <t>Input</t>
  </si>
  <si>
    <r>
      <t xml:space="preserve">Front stiffness at ground </t>
    </r>
    <r>
      <rPr>
        <sz val="11"/>
        <color rgb="FFFF0000"/>
        <rFont val="Calibri"/>
        <family val="2"/>
        <scheme val="minor"/>
      </rPr>
      <t>(1-dof)</t>
    </r>
  </si>
  <si>
    <r>
      <t xml:space="preserve">Rear stiffness at ground </t>
    </r>
    <r>
      <rPr>
        <sz val="11"/>
        <color rgb="FFFF0000"/>
        <rFont val="Calibri"/>
        <family val="2"/>
        <scheme val="minor"/>
      </rPr>
      <t>(1-dof)</t>
    </r>
  </si>
  <si>
    <t>1-dof ride frequency</t>
  </si>
  <si>
    <t>2-dof ride frequency</t>
  </si>
  <si>
    <t>Setup name</t>
  </si>
  <si>
    <t>Soft</t>
  </si>
  <si>
    <t>Hz</t>
  </si>
  <si>
    <t>Spring</t>
  </si>
  <si>
    <t>N/mm</t>
  </si>
  <si>
    <t>Ground rate</t>
  </si>
  <si>
    <t>Modded to subtract unsprung mass</t>
  </si>
  <si>
    <t>Stock roll-bar 1200 N/mm</t>
  </si>
  <si>
    <t>*this sheet is for recap only, no data in this sheet should be used for formulas</t>
  </si>
  <si>
    <t>Ratio</t>
  </si>
  <si>
    <t>Stiff</t>
  </si>
  <si>
    <t>Anti-Roll Bar</t>
  </si>
  <si>
    <t>Nm/deg</t>
  </si>
  <si>
    <t>1-dof elastic roll stiffness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</si>
</sst>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0.0000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trike/>
      <sz val="11"/>
      <name val="Calibri"/>
      <family val="2"/>
      <scheme val="minor"/>
    </font>
    <font>
      <b/>
      <strike/>
      <sz val="11"/>
      <color theme="1"/>
      <name val="Calibri"/>
      <family val="2"/>
      <scheme val="minor"/>
    </font>
    <font>
      <b/>
      <strike/>
      <sz val="11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lightTrellis">
        <bgColor theme="3" tint="0.79998168889431442"/>
      </patternFill>
    </fill>
    <fill>
      <patternFill patternType="lightTrellis">
        <bgColor theme="5" tint="0.79998168889431442"/>
      </patternFill>
    </fill>
    <fill>
      <patternFill patternType="lightTrellis">
        <bgColor theme="8" tint="0.79998168889431442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1" fillId="0" borderId="0" applyNumberFormat="0" applyFill="0" applyBorder="0" applyAlignment="0" applyProtection="0"/>
    <xf numFmtId="9" fontId="12" fillId="0" borderId="0" applyFont="0" applyFill="0" applyBorder="0" applyAlignment="0" applyProtection="0"/>
    <xf numFmtId="0" fontId="19" fillId="12" borderId="41" applyNumberFormat="0" applyAlignment="0" applyProtection="0"/>
    <xf numFmtId="0" fontId="20" fillId="13" borderId="42" applyNumberFormat="0" applyAlignment="0" applyProtection="0"/>
  </cellStyleXfs>
  <cellXfs count="355">
    <xf numFmtId="0" fontId="0" fillId="0" borderId="0" xfId="0"/>
    <xf numFmtId="1" fontId="0" fillId="0" borderId="0" xfId="0" applyNumberFormat="1"/>
    <xf numFmtId="0" fontId="0" fillId="0" borderId="3" xfId="0" applyBorder="1"/>
    <xf numFmtId="0" fontId="0" fillId="0" borderId="9" xfId="0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0" fillId="0" borderId="15" xfId="0" applyBorder="1"/>
    <xf numFmtId="1" fontId="0" fillId="0" borderId="15" xfId="0" applyNumberFormat="1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/>
    </xf>
    <xf numFmtId="0" fontId="1" fillId="0" borderId="20" xfId="0" applyFont="1" applyBorder="1"/>
    <xf numFmtId="0" fontId="1" fillId="0" borderId="22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/>
    </xf>
    <xf numFmtId="0" fontId="1" fillId="0" borderId="1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" fontId="1" fillId="0" borderId="17" xfId="0" applyNumberFormat="1" applyFont="1" applyBorder="1" applyAlignment="1">
      <alignment horizontal="center" vertical="center"/>
    </xf>
    <xf numFmtId="0" fontId="0" fillId="0" borderId="21" xfId="0" applyBorder="1"/>
    <xf numFmtId="0" fontId="1" fillId="0" borderId="22" xfId="0" applyFont="1" applyBorder="1"/>
    <xf numFmtId="0" fontId="0" fillId="0" borderId="25" xfId="0" applyBorder="1"/>
    <xf numFmtId="0" fontId="0" fillId="0" borderId="23" xfId="0" applyBorder="1"/>
    <xf numFmtId="0" fontId="1" fillId="0" borderId="26" xfId="0" applyFont="1" applyBorder="1"/>
    <xf numFmtId="0" fontId="0" fillId="0" borderId="27" xfId="0" applyBorder="1"/>
    <xf numFmtId="164" fontId="0" fillId="0" borderId="0" xfId="0" applyNumberFormat="1"/>
    <xf numFmtId="0" fontId="1" fillId="0" borderId="0" xfId="0" applyFont="1"/>
    <xf numFmtId="0" fontId="1" fillId="0" borderId="1" xfId="0" applyFont="1" applyBorder="1"/>
    <xf numFmtId="0" fontId="1" fillId="0" borderId="3" xfId="0" applyFont="1" applyBorder="1"/>
    <xf numFmtId="0" fontId="1" fillId="0" borderId="5" xfId="0" applyFont="1" applyBorder="1"/>
    <xf numFmtId="0" fontId="5" fillId="0" borderId="18" xfId="0" applyFont="1" applyBorder="1" applyAlignment="1">
      <alignment wrapText="1"/>
    </xf>
    <xf numFmtId="0" fontId="5" fillId="0" borderId="22" xfId="0" applyFont="1" applyBorder="1" applyAlignment="1">
      <alignment wrapText="1"/>
    </xf>
    <xf numFmtId="0" fontId="0" fillId="4" borderId="9" xfId="0" applyFill="1" applyBorder="1" applyAlignment="1">
      <alignment horizontal="center" vertical="center"/>
    </xf>
    <xf numFmtId="0" fontId="0" fillId="0" borderId="5" xfId="0" applyBorder="1"/>
    <xf numFmtId="1" fontId="0" fillId="5" borderId="0" xfId="0" applyNumberFormat="1" applyFill="1"/>
    <xf numFmtId="2" fontId="0" fillId="5" borderId="0" xfId="0" applyNumberFormat="1" applyFill="1"/>
    <xf numFmtId="0" fontId="0" fillId="5" borderId="6" xfId="0" applyFill="1" applyBorder="1"/>
    <xf numFmtId="0" fontId="0" fillId="6" borderId="4" xfId="0" applyFill="1" applyBorder="1"/>
    <xf numFmtId="1" fontId="0" fillId="5" borderId="9" xfId="0" applyNumberFormat="1" applyFill="1" applyBorder="1"/>
    <xf numFmtId="1" fontId="0" fillId="5" borderId="25" xfId="0" applyNumberFormat="1" applyFill="1" applyBorder="1"/>
    <xf numFmtId="0" fontId="7" fillId="5" borderId="24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1" fontId="0" fillId="5" borderId="9" xfId="0" applyNumberFormat="1" applyFill="1" applyBorder="1" applyAlignment="1">
      <alignment horizontal="center" vertical="center"/>
    </xf>
    <xf numFmtId="0" fontId="0" fillId="5" borderId="25" xfId="0" applyFill="1" applyBorder="1" applyAlignment="1">
      <alignment horizontal="center" vertical="center"/>
    </xf>
    <xf numFmtId="1" fontId="0" fillId="5" borderId="25" xfId="0" applyNumberFormat="1" applyFill="1" applyBorder="1" applyAlignment="1">
      <alignment horizontal="center" vertical="center"/>
    </xf>
    <xf numFmtId="0" fontId="0" fillId="6" borderId="12" xfId="0" applyFill="1" applyBorder="1"/>
    <xf numFmtId="0" fontId="7" fillId="6" borderId="25" xfId="0" applyFont="1" applyFill="1" applyBorder="1" applyAlignment="1">
      <alignment horizontal="center" vertical="center" wrapText="1"/>
    </xf>
    <xf numFmtId="0" fontId="0" fillId="6" borderId="9" xfId="0" applyFill="1" applyBorder="1"/>
    <xf numFmtId="0" fontId="0" fillId="5" borderId="12" xfId="0" applyFill="1" applyBorder="1"/>
    <xf numFmtId="0" fontId="0" fillId="4" borderId="12" xfId="0" applyFill="1" applyBorder="1"/>
    <xf numFmtId="0" fontId="0" fillId="2" borderId="12" xfId="0" applyFill="1" applyBorder="1"/>
    <xf numFmtId="0" fontId="0" fillId="7" borderId="13" xfId="0" applyFill="1" applyBorder="1"/>
    <xf numFmtId="1" fontId="0" fillId="4" borderId="0" xfId="0" applyNumberFormat="1" applyFill="1"/>
    <xf numFmtId="1" fontId="0" fillId="4" borderId="15" xfId="0" applyNumberFormat="1" applyFill="1" applyBorder="1"/>
    <xf numFmtId="0" fontId="0" fillId="4" borderId="20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0" fillId="5" borderId="2" xfId="0" applyFill="1" applyBorder="1"/>
    <xf numFmtId="0" fontId="0" fillId="5" borderId="4" xfId="0" applyFill="1" applyBorder="1"/>
    <xf numFmtId="0" fontId="0" fillId="5" borderId="10" xfId="0" applyFill="1" applyBorder="1"/>
    <xf numFmtId="0" fontId="0" fillId="5" borderId="9" xfId="0" applyFill="1" applyBorder="1"/>
    <xf numFmtId="0" fontId="0" fillId="5" borderId="25" xfId="0" applyFill="1" applyBorder="1"/>
    <xf numFmtId="0" fontId="1" fillId="0" borderId="11" xfId="0" applyFont="1" applyBorder="1" applyAlignment="1">
      <alignment vertical="center"/>
    </xf>
    <xf numFmtId="0" fontId="0" fillId="5" borderId="12" xfId="0" applyFill="1" applyBorder="1" applyAlignment="1">
      <alignment vertical="center"/>
    </xf>
    <xf numFmtId="0" fontId="0" fillId="6" borderId="12" xfId="0" applyFill="1" applyBorder="1" applyAlignment="1">
      <alignment vertical="center"/>
    </xf>
    <xf numFmtId="0" fontId="0" fillId="4" borderId="12" xfId="0" applyFill="1" applyBorder="1" applyAlignment="1">
      <alignment vertical="center"/>
    </xf>
    <xf numFmtId="0" fontId="0" fillId="2" borderId="12" xfId="0" applyFill="1" applyBorder="1" applyAlignment="1">
      <alignment vertical="center"/>
    </xf>
    <xf numFmtId="0" fontId="0" fillId="7" borderId="13" xfId="0" applyFill="1" applyBorder="1" applyAlignment="1">
      <alignment vertical="center"/>
    </xf>
    <xf numFmtId="0" fontId="1" fillId="0" borderId="20" xfId="0" applyFont="1" applyBorder="1" applyAlignment="1">
      <alignment wrapText="1"/>
    </xf>
    <xf numFmtId="2" fontId="0" fillId="0" borderId="0" xfId="0" applyNumberFormat="1"/>
    <xf numFmtId="0" fontId="0" fillId="0" borderId="20" xfId="0" applyBorder="1" applyAlignment="1">
      <alignment wrapText="1"/>
    </xf>
    <xf numFmtId="0" fontId="0" fillId="0" borderId="22" xfId="0" applyBorder="1" applyAlignment="1">
      <alignment wrapText="1"/>
    </xf>
    <xf numFmtId="1" fontId="0" fillId="4" borderId="14" xfId="0" applyNumberFormat="1" applyFill="1" applyBorder="1"/>
    <xf numFmtId="2" fontId="0" fillId="4" borderId="0" xfId="0" applyNumberFormat="1" applyFill="1"/>
    <xf numFmtId="2" fontId="0" fillId="4" borderId="15" xfId="0" applyNumberFormat="1" applyFill="1" applyBorder="1"/>
    <xf numFmtId="0" fontId="0" fillId="6" borderId="22" xfId="0" applyFill="1" applyBorder="1" applyAlignment="1">
      <alignment horizontal="center" vertical="center"/>
    </xf>
    <xf numFmtId="1" fontId="0" fillId="5" borderId="23" xfId="0" applyNumberFormat="1" applyFill="1" applyBorder="1" applyAlignment="1">
      <alignment horizontal="center" vertical="center"/>
    </xf>
    <xf numFmtId="0" fontId="0" fillId="0" borderId="20" xfId="0" applyBorder="1" applyAlignment="1">
      <alignment horizontal="left" vertical="center" wrapText="1"/>
    </xf>
    <xf numFmtId="1" fontId="0" fillId="5" borderId="34" xfId="0" applyNumberFormat="1" applyFill="1" applyBorder="1"/>
    <xf numFmtId="1" fontId="0" fillId="5" borderId="16" xfId="0" applyNumberFormat="1" applyFill="1" applyBorder="1"/>
    <xf numFmtId="0" fontId="1" fillId="5" borderId="17" xfId="0" applyFont="1" applyFill="1" applyBorder="1"/>
    <xf numFmtId="0" fontId="1" fillId="6" borderId="17" xfId="0" applyFont="1" applyFill="1" applyBorder="1" applyAlignment="1">
      <alignment horizontal="center"/>
    </xf>
    <xf numFmtId="0" fontId="0" fillId="0" borderId="20" xfId="0" applyBorder="1"/>
    <xf numFmtId="0" fontId="0" fillId="0" borderId="22" xfId="0" applyBorder="1"/>
    <xf numFmtId="0" fontId="0" fillId="4" borderId="9" xfId="0" applyFill="1" applyBorder="1"/>
    <xf numFmtId="0" fontId="0" fillId="4" borderId="25" xfId="0" applyFill="1" applyBorder="1"/>
    <xf numFmtId="0" fontId="0" fillId="4" borderId="23" xfId="0" applyFill="1" applyBorder="1"/>
    <xf numFmtId="0" fontId="1" fillId="0" borderId="35" xfId="0" applyFont="1" applyBorder="1"/>
    <xf numFmtId="0" fontId="1" fillId="0" borderId="36" xfId="0" applyFont="1" applyBorder="1"/>
    <xf numFmtId="0" fontId="1" fillId="0" borderId="37" xfId="0" applyFont="1" applyBorder="1"/>
    <xf numFmtId="1" fontId="0" fillId="5" borderId="28" xfId="0" applyNumberFormat="1" applyFill="1" applyBorder="1"/>
    <xf numFmtId="0" fontId="1" fillId="6" borderId="17" xfId="0" applyFont="1" applyFill="1" applyBorder="1" applyAlignment="1">
      <alignment horizontal="center" vertical="center"/>
    </xf>
    <xf numFmtId="2" fontId="0" fillId="4" borderId="25" xfId="0" applyNumberFormat="1" applyFill="1" applyBorder="1" applyAlignment="1">
      <alignment horizontal="center" vertical="center"/>
    </xf>
    <xf numFmtId="2" fontId="0" fillId="5" borderId="9" xfId="0" applyNumberFormat="1" applyFill="1" applyBorder="1" applyAlignment="1">
      <alignment horizontal="center" vertical="center"/>
    </xf>
    <xf numFmtId="164" fontId="0" fillId="5" borderId="24" xfId="0" applyNumberForma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" fontId="5" fillId="0" borderId="20" xfId="0" applyNumberFormat="1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wrapText="1"/>
    </xf>
    <xf numFmtId="0" fontId="5" fillId="0" borderId="38" xfId="0" applyFont="1" applyBorder="1" applyAlignment="1">
      <alignment vertical="center" wrapText="1"/>
    </xf>
    <xf numFmtId="0" fontId="5" fillId="0" borderId="39" xfId="0" applyFont="1" applyBorder="1" applyAlignment="1">
      <alignment vertical="center" wrapText="1"/>
    </xf>
    <xf numFmtId="0" fontId="1" fillId="0" borderId="40" xfId="0" applyFont="1" applyBorder="1" applyAlignment="1">
      <alignment horizontal="center" vertical="center" wrapText="1"/>
    </xf>
    <xf numFmtId="0" fontId="0" fillId="6" borderId="18" xfId="0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1" fontId="0" fillId="5" borderId="24" xfId="0" applyNumberFormat="1" applyFill="1" applyBorder="1" applyAlignment="1">
      <alignment horizontal="center" vertical="center"/>
    </xf>
    <xf numFmtId="1" fontId="0" fillId="5" borderId="19" xfId="0" applyNumberFormat="1" applyFill="1" applyBorder="1" applyAlignment="1">
      <alignment horizontal="center" vertical="center"/>
    </xf>
    <xf numFmtId="0" fontId="0" fillId="6" borderId="20" xfId="0" applyFill="1" applyBorder="1" applyAlignment="1">
      <alignment horizontal="center" vertical="center"/>
    </xf>
    <xf numFmtId="1" fontId="0" fillId="5" borderId="21" xfId="0" applyNumberFormat="1" applyFill="1" applyBorder="1" applyAlignment="1">
      <alignment horizontal="center" vertical="center"/>
    </xf>
    <xf numFmtId="0" fontId="1" fillId="0" borderId="22" xfId="0" applyFont="1" applyBorder="1" applyAlignment="1">
      <alignment wrapText="1"/>
    </xf>
    <xf numFmtId="0" fontId="0" fillId="7" borderId="12" xfId="0" applyFill="1" applyBorder="1"/>
    <xf numFmtId="0" fontId="0" fillId="3" borderId="13" xfId="0" applyFill="1" applyBorder="1"/>
    <xf numFmtId="164" fontId="0" fillId="5" borderId="9" xfId="0" applyNumberFormat="1" applyFill="1" applyBorder="1"/>
    <xf numFmtId="164" fontId="0" fillId="5" borderId="25" xfId="0" applyNumberFormat="1" applyFill="1" applyBorder="1"/>
    <xf numFmtId="0" fontId="0" fillId="4" borderId="21" xfId="0" applyFill="1" applyBorder="1" applyAlignment="1">
      <alignment horizontal="center"/>
    </xf>
    <xf numFmtId="2" fontId="0" fillId="4" borderId="21" xfId="0" applyNumberFormat="1" applyFill="1" applyBorder="1"/>
    <xf numFmtId="0" fontId="1" fillId="0" borderId="18" xfId="0" applyFont="1" applyBorder="1" applyAlignment="1">
      <alignment wrapText="1"/>
    </xf>
    <xf numFmtId="1" fontId="0" fillId="0" borderId="24" xfId="0" applyNumberFormat="1" applyBorder="1"/>
    <xf numFmtId="0" fontId="0" fillId="0" borderId="24" xfId="0" applyBorder="1"/>
    <xf numFmtId="1" fontId="0" fillId="0" borderId="19" xfId="0" applyNumberFormat="1" applyBorder="1"/>
    <xf numFmtId="2" fontId="0" fillId="0" borderId="9" xfId="0" applyNumberFormat="1" applyBorder="1"/>
    <xf numFmtId="2" fontId="0" fillId="0" borderId="21" xfId="0" applyNumberFormat="1" applyBorder="1"/>
    <xf numFmtId="2" fontId="1" fillId="0" borderId="20" xfId="0" applyNumberFormat="1" applyFont="1" applyBorder="1" applyAlignment="1">
      <alignment wrapText="1"/>
    </xf>
    <xf numFmtId="164" fontId="0" fillId="0" borderId="9" xfId="0" applyNumberFormat="1" applyBorder="1"/>
    <xf numFmtId="164" fontId="1" fillId="0" borderId="9" xfId="0" applyNumberFormat="1" applyFont="1" applyBorder="1"/>
    <xf numFmtId="0" fontId="1" fillId="0" borderId="21" xfId="0" applyFont="1" applyBorder="1"/>
    <xf numFmtId="0" fontId="1" fillId="0" borderId="9" xfId="0" applyFont="1" applyBorder="1"/>
    <xf numFmtId="2" fontId="0" fillId="0" borderId="25" xfId="0" applyNumberFormat="1" applyBorder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6" fillId="0" borderId="0" xfId="0" applyFont="1" applyAlignment="1">
      <alignment horizontal="center"/>
    </xf>
    <xf numFmtId="0" fontId="0" fillId="6" borderId="0" xfId="0" applyFill="1" applyAlignment="1">
      <alignment horizontal="center"/>
    </xf>
    <xf numFmtId="9" fontId="0" fillId="6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0" borderId="0" xfId="0" applyNumberFormat="1" applyAlignment="1">
      <alignment horizontal="center"/>
    </xf>
    <xf numFmtId="1" fontId="2" fillId="5" borderId="0" xfId="0" applyNumberFormat="1" applyFont="1" applyFill="1" applyAlignment="1">
      <alignment horizontal="center"/>
    </xf>
    <xf numFmtId="1" fontId="0" fillId="5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164" fontId="0" fillId="5" borderId="0" xfId="0" applyNumberFormat="1" applyFill="1" applyAlignment="1">
      <alignment horizontal="center"/>
    </xf>
    <xf numFmtId="1" fontId="7" fillId="5" borderId="0" xfId="0" applyNumberFormat="1" applyFont="1" applyFill="1" applyAlignment="1">
      <alignment horizontal="center"/>
    </xf>
    <xf numFmtId="0" fontId="0" fillId="5" borderId="8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3" xfId="0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0" fillId="0" borderId="9" xfId="0" applyBorder="1" applyAlignment="1">
      <alignment horizontal="center"/>
    </xf>
    <xf numFmtId="2" fontId="0" fillId="4" borderId="21" xfId="0" applyNumberFormat="1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25" xfId="0" applyFill="1" applyBorder="1" applyAlignment="1">
      <alignment horizontal="center"/>
    </xf>
    <xf numFmtId="0" fontId="0" fillId="0" borderId="25" xfId="0" applyBorder="1" applyAlignment="1">
      <alignment horizontal="center"/>
    </xf>
    <xf numFmtId="2" fontId="0" fillId="4" borderId="23" xfId="0" applyNumberFormat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8" xfId="0" applyFill="1" applyBorder="1" applyAlignment="1">
      <alignment horizontal="center"/>
    </xf>
    <xf numFmtId="1" fontId="0" fillId="5" borderId="18" xfId="0" applyNumberFormat="1" applyFill="1" applyBorder="1" applyAlignment="1">
      <alignment horizontal="center"/>
    </xf>
    <xf numFmtId="1" fontId="0" fillId="5" borderId="24" xfId="0" applyNumberFormat="1" applyFill="1" applyBorder="1" applyAlignment="1">
      <alignment horizontal="center"/>
    </xf>
    <xf numFmtId="0" fontId="0" fillId="5" borderId="20" xfId="0" applyFill="1" applyBorder="1" applyAlignment="1">
      <alignment horizontal="center"/>
    </xf>
    <xf numFmtId="1" fontId="0" fillId="5" borderId="9" xfId="0" applyNumberFormat="1" applyFill="1" applyBorder="1" applyAlignment="1">
      <alignment horizontal="center"/>
    </xf>
    <xf numFmtId="0" fontId="0" fillId="5" borderId="22" xfId="0" applyFill="1" applyBorder="1" applyAlignment="1">
      <alignment horizontal="center"/>
    </xf>
    <xf numFmtId="1" fontId="0" fillId="5" borderId="25" xfId="0" applyNumberFormat="1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25" xfId="0" applyFill="1" applyBorder="1" applyAlignment="1">
      <alignment horizontal="center"/>
    </xf>
    <xf numFmtId="0" fontId="5" fillId="0" borderId="19" xfId="0" applyFont="1" applyBorder="1" applyAlignment="1">
      <alignment horizontal="center" wrapText="1"/>
    </xf>
    <xf numFmtId="0" fontId="5" fillId="0" borderId="23" xfId="0" applyFont="1" applyBorder="1" applyAlignment="1">
      <alignment horizontal="center" wrapText="1"/>
    </xf>
    <xf numFmtId="1" fontId="0" fillId="5" borderId="19" xfId="0" applyNumberFormat="1" applyFill="1" applyBorder="1" applyAlignment="1">
      <alignment horizontal="center"/>
    </xf>
    <xf numFmtId="1" fontId="0" fillId="5" borderId="20" xfId="0" applyNumberFormat="1" applyFill="1" applyBorder="1" applyAlignment="1">
      <alignment horizontal="center"/>
    </xf>
    <xf numFmtId="1" fontId="0" fillId="5" borderId="21" xfId="0" applyNumberFormat="1" applyFill="1" applyBorder="1" applyAlignment="1">
      <alignment horizontal="center"/>
    </xf>
    <xf numFmtId="1" fontId="0" fillId="5" borderId="22" xfId="0" applyNumberFormat="1" applyFill="1" applyBorder="1" applyAlignment="1">
      <alignment horizontal="center"/>
    </xf>
    <xf numFmtId="1" fontId="0" fillId="5" borderId="23" xfId="0" applyNumberForma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5" fillId="0" borderId="18" xfId="0" applyFont="1" applyBorder="1" applyAlignment="1">
      <alignment horizontal="center" wrapText="1"/>
    </xf>
    <xf numFmtId="0" fontId="5" fillId="0" borderId="22" xfId="0" applyFont="1" applyBorder="1" applyAlignment="1">
      <alignment horizontal="center" wrapText="1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1" fontId="0" fillId="0" borderId="16" xfId="0" applyNumberFormat="1" applyBorder="1"/>
    <xf numFmtId="0" fontId="10" fillId="0" borderId="0" xfId="0" applyFont="1"/>
    <xf numFmtId="0" fontId="0" fillId="6" borderId="0" xfId="0" applyFill="1"/>
    <xf numFmtId="2" fontId="0" fillId="6" borderId="0" xfId="0" applyNumberFormat="1" applyFill="1"/>
    <xf numFmtId="0" fontId="0" fillId="5" borderId="0" xfId="0" applyFill="1"/>
    <xf numFmtId="1" fontId="0" fillId="6" borderId="0" xfId="0" applyNumberFormat="1" applyFill="1"/>
    <xf numFmtId="164" fontId="0" fillId="5" borderId="0" xfId="0" applyNumberFormat="1" applyFill="1"/>
    <xf numFmtId="1" fontId="0" fillId="5" borderId="8" xfId="0" applyNumberFormat="1" applyFill="1" applyBorder="1" applyAlignment="1">
      <alignment horizontal="center"/>
    </xf>
    <xf numFmtId="1" fontId="7" fillId="5" borderId="8" xfId="0" applyNumberFormat="1" applyFont="1" applyFill="1" applyBorder="1" applyAlignment="1">
      <alignment horizontal="center"/>
    </xf>
    <xf numFmtId="164" fontId="0" fillId="6" borderId="22" xfId="0" applyNumberFormat="1" applyFill="1" applyBorder="1"/>
    <xf numFmtId="164" fontId="0" fillId="6" borderId="25" xfId="0" applyNumberFormat="1" applyFill="1" applyBorder="1"/>
    <xf numFmtId="164" fontId="0" fillId="6" borderId="23" xfId="0" applyNumberFormat="1" applyFill="1" applyBorder="1"/>
    <xf numFmtId="1" fontId="1" fillId="0" borderId="26" xfId="0" applyNumberFormat="1" applyFont="1" applyBorder="1"/>
    <xf numFmtId="1" fontId="1" fillId="0" borderId="10" xfId="0" applyNumberFormat="1" applyFont="1" applyBorder="1"/>
    <xf numFmtId="1" fontId="1" fillId="0" borderId="27" xfId="0" applyNumberFormat="1" applyFont="1" applyBorder="1"/>
    <xf numFmtId="1" fontId="1" fillId="0" borderId="0" xfId="0" applyNumberFormat="1" applyFont="1"/>
    <xf numFmtId="1" fontId="1" fillId="0" borderId="3" xfId="0" applyNumberFormat="1" applyFont="1" applyBorder="1"/>
    <xf numFmtId="1" fontId="1" fillId="0" borderId="4" xfId="0" applyNumberFormat="1" applyFont="1" applyBorder="1"/>
    <xf numFmtId="164" fontId="0" fillId="6" borderId="5" xfId="0" applyNumberFormat="1" applyFill="1" applyBorder="1"/>
    <xf numFmtId="164" fontId="0" fillId="6" borderId="8" xfId="0" applyNumberFormat="1" applyFill="1" applyBorder="1"/>
    <xf numFmtId="164" fontId="0" fillId="6" borderId="6" xfId="0" applyNumberFormat="1" applyFill="1" applyBorder="1"/>
    <xf numFmtId="0" fontId="0" fillId="0" borderId="1" xfId="0" applyBorder="1"/>
    <xf numFmtId="0" fontId="0" fillId="6" borderId="7" xfId="0" applyFill="1" applyBorder="1" applyAlignment="1">
      <alignment horizontal="center"/>
    </xf>
    <xf numFmtId="0" fontId="0" fillId="0" borderId="4" xfId="0" applyBorder="1"/>
    <xf numFmtId="0" fontId="14" fillId="0" borderId="3" xfId="0" applyFont="1" applyBorder="1"/>
    <xf numFmtId="1" fontId="15" fillId="5" borderId="0" xfId="0" applyNumberFormat="1" applyFont="1" applyFill="1" applyAlignment="1">
      <alignment horizontal="center"/>
    </xf>
    <xf numFmtId="165" fontId="13" fillId="5" borderId="0" xfId="2" applyNumberFormat="1" applyFont="1" applyFill="1" applyAlignment="1">
      <alignment horizontal="center"/>
    </xf>
    <xf numFmtId="2" fontId="2" fillId="5" borderId="0" xfId="0" applyNumberFormat="1" applyFont="1" applyFill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2" fontId="13" fillId="5" borderId="0" xfId="2" applyNumberFormat="1" applyFont="1" applyFill="1" applyAlignment="1">
      <alignment horizontal="center"/>
    </xf>
    <xf numFmtId="9" fontId="0" fillId="6" borderId="0" xfId="2" applyFont="1" applyFill="1" applyAlignment="1">
      <alignment horizontal="center"/>
    </xf>
    <xf numFmtId="0" fontId="14" fillId="0" borderId="4" xfId="0" applyFont="1" applyBorder="1" applyAlignment="1">
      <alignment horizontal="center"/>
    </xf>
    <xf numFmtId="0" fontId="16" fillId="0" borderId="3" xfId="0" applyFont="1" applyBorder="1"/>
    <xf numFmtId="165" fontId="17" fillId="5" borderId="0" xfId="2" applyNumberFormat="1" applyFont="1" applyFill="1" applyAlignment="1">
      <alignment horizontal="center"/>
    </xf>
    <xf numFmtId="0" fontId="16" fillId="0" borderId="4" xfId="0" applyFont="1" applyBorder="1" applyAlignment="1">
      <alignment horizontal="center"/>
    </xf>
    <xf numFmtId="165" fontId="13" fillId="5" borderId="8" xfId="2" applyNumberFormat="1" applyFont="1" applyFill="1" applyBorder="1" applyAlignment="1">
      <alignment horizontal="center"/>
    </xf>
    <xf numFmtId="0" fontId="18" fillId="0" borderId="9" xfId="0" applyFont="1" applyBorder="1"/>
    <xf numFmtId="9" fontId="1" fillId="0" borderId="9" xfId="2" applyFont="1" applyBorder="1"/>
    <xf numFmtId="1" fontId="0" fillId="0" borderId="9" xfId="0" applyNumberFormat="1" applyBorder="1"/>
    <xf numFmtId="165" fontId="0" fillId="0" borderId="9" xfId="2" applyNumberFormat="1" applyFont="1" applyBorder="1"/>
    <xf numFmtId="165" fontId="12" fillId="0" borderId="9" xfId="2" applyNumberFormat="1" applyBorder="1"/>
    <xf numFmtId="9" fontId="1" fillId="11" borderId="9" xfId="2" applyFont="1" applyFill="1" applyBorder="1"/>
    <xf numFmtId="0" fontId="0" fillId="11" borderId="9" xfId="0" applyFill="1" applyBorder="1"/>
    <xf numFmtId="1" fontId="0" fillId="11" borderId="9" xfId="0" applyNumberFormat="1" applyFill="1" applyBorder="1"/>
    <xf numFmtId="165" fontId="0" fillId="11" borderId="9" xfId="2" applyNumberFormat="1" applyFont="1" applyFill="1" applyBorder="1"/>
    <xf numFmtId="0" fontId="20" fillId="13" borderId="42" xfId="4"/>
    <xf numFmtId="2" fontId="19" fillId="12" borderId="41" xfId="3" applyNumberFormat="1"/>
    <xf numFmtId="2" fontId="20" fillId="13" borderId="42" xfId="4" applyNumberFormat="1"/>
    <xf numFmtId="9" fontId="20" fillId="13" borderId="42" xfId="4" applyNumberFormat="1"/>
    <xf numFmtId="1" fontId="20" fillId="13" borderId="42" xfId="4" applyNumberFormat="1"/>
    <xf numFmtId="9" fontId="1" fillId="2" borderId="9" xfId="2" applyFont="1" applyFill="1" applyBorder="1"/>
    <xf numFmtId="0" fontId="0" fillId="2" borderId="9" xfId="0" applyFill="1" applyBorder="1"/>
    <xf numFmtId="1" fontId="0" fillId="2" borderId="9" xfId="0" applyNumberFormat="1" applyFill="1" applyBorder="1"/>
    <xf numFmtId="165" fontId="0" fillId="2" borderId="9" xfId="2" applyNumberFormat="1" applyFont="1" applyFill="1" applyBorder="1"/>
    <xf numFmtId="0" fontId="0" fillId="6" borderId="17" xfId="0" applyFill="1" applyBorder="1" applyAlignment="1">
      <alignment horizontal="center"/>
    </xf>
    <xf numFmtId="0" fontId="0" fillId="3" borderId="3" xfId="0" applyFill="1" applyBorder="1"/>
    <xf numFmtId="0" fontId="0" fillId="0" borderId="3" xfId="0" applyFill="1" applyBorder="1"/>
    <xf numFmtId="0" fontId="22" fillId="0" borderId="0" xfId="0" applyFont="1"/>
    <xf numFmtId="0" fontId="22" fillId="0" borderId="0" xfId="0" applyFont="1" applyAlignment="1">
      <alignment horizontal="center"/>
    </xf>
    <xf numFmtId="0" fontId="21" fillId="0" borderId="3" xfId="0" applyFont="1" applyBorder="1"/>
    <xf numFmtId="0" fontId="21" fillId="0" borderId="0" xfId="0" applyFont="1"/>
    <xf numFmtId="0" fontId="23" fillId="0" borderId="0" xfId="0" applyFont="1"/>
    <xf numFmtId="0" fontId="24" fillId="0" borderId="43" xfId="0" applyFont="1" applyBorder="1"/>
    <xf numFmtId="0" fontId="24" fillId="0" borderId="44" xfId="0" applyFont="1" applyBorder="1" applyAlignment="1">
      <alignment horizontal="center"/>
    </xf>
    <xf numFmtId="0" fontId="22" fillId="0" borderId="44" xfId="0" applyFont="1" applyBorder="1" applyAlignment="1">
      <alignment horizontal="center"/>
    </xf>
    <xf numFmtId="0" fontId="0" fillId="0" borderId="44" xfId="0" applyBorder="1"/>
    <xf numFmtId="0" fontId="0" fillId="0" borderId="45" xfId="0" applyBorder="1"/>
    <xf numFmtId="0" fontId="0" fillId="0" borderId="46" xfId="0" applyBorder="1"/>
    <xf numFmtId="0" fontId="0" fillId="0" borderId="47" xfId="0" applyBorder="1"/>
    <xf numFmtId="0" fontId="22" fillId="0" borderId="46" xfId="0" applyFont="1" applyBorder="1"/>
    <xf numFmtId="0" fontId="25" fillId="0" borderId="0" xfId="0" applyFont="1" applyAlignment="1">
      <alignment horizontal="right"/>
    </xf>
    <xf numFmtId="0" fontId="22" fillId="0" borderId="0" xfId="0" applyFont="1" applyAlignment="1">
      <alignment horizontal="right"/>
    </xf>
    <xf numFmtId="0" fontId="22" fillId="0" borderId="47" xfId="0" applyFont="1" applyBorder="1" applyAlignment="1">
      <alignment horizontal="center"/>
    </xf>
    <xf numFmtId="165" fontId="22" fillId="0" borderId="0" xfId="2" applyNumberFormat="1" applyFont="1" applyAlignment="1">
      <alignment horizontal="right"/>
    </xf>
    <xf numFmtId="0" fontId="25" fillId="0" borderId="46" xfId="0" applyFont="1" applyBorder="1"/>
    <xf numFmtId="165" fontId="25" fillId="0" borderId="0" xfId="2" applyNumberFormat="1" applyFont="1" applyAlignment="1">
      <alignment horizontal="right"/>
    </xf>
    <xf numFmtId="0" fontId="25" fillId="0" borderId="48" xfId="0" applyFont="1" applyBorder="1"/>
    <xf numFmtId="0" fontId="22" fillId="0" borderId="49" xfId="0" applyFont="1" applyBorder="1" applyAlignment="1">
      <alignment horizontal="right"/>
    </xf>
    <xf numFmtId="165" fontId="25" fillId="0" borderId="49" xfId="2" applyNumberFormat="1" applyFont="1" applyBorder="1" applyAlignment="1">
      <alignment horizontal="right"/>
    </xf>
    <xf numFmtId="0" fontId="22" fillId="0" borderId="50" xfId="0" applyFont="1" applyBorder="1" applyAlignment="1">
      <alignment horizontal="center"/>
    </xf>
    <xf numFmtId="166" fontId="13" fillId="5" borderId="0" xfId="2" applyNumberFormat="1" applyFont="1" applyFill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5" borderId="16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18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8" borderId="0" xfId="0" applyFont="1" applyFill="1" applyAlignment="1">
      <alignment horizontal="center" vertical="center" textRotation="90"/>
    </xf>
    <xf numFmtId="0" fontId="3" fillId="9" borderId="0" xfId="0" applyFont="1" applyFill="1" applyAlignment="1">
      <alignment horizontal="center" vertical="center" textRotation="90"/>
    </xf>
    <xf numFmtId="0" fontId="4" fillId="10" borderId="0" xfId="0" applyFont="1" applyFill="1" applyAlignment="1">
      <alignment horizontal="center" vertical="center" textRotation="90"/>
    </xf>
    <xf numFmtId="0" fontId="1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1" fontId="0" fillId="5" borderId="11" xfId="0" applyNumberFormat="1" applyFill="1" applyBorder="1" applyAlignment="1">
      <alignment horizontal="center" vertical="center"/>
    </xf>
    <xf numFmtId="1" fontId="0" fillId="5" borderId="12" xfId="0" applyNumberFormat="1" applyFill="1" applyBorder="1" applyAlignment="1">
      <alignment horizontal="center" vertical="center"/>
    </xf>
    <xf numFmtId="1" fontId="0" fillId="5" borderId="13" xfId="0" applyNumberFormat="1" applyFill="1" applyBorder="1" applyAlignment="1">
      <alignment horizontal="center" vertical="center"/>
    </xf>
    <xf numFmtId="1" fontId="0" fillId="6" borderId="11" xfId="0" applyNumberFormat="1" applyFill="1" applyBorder="1" applyAlignment="1">
      <alignment horizontal="center" vertical="center"/>
    </xf>
    <xf numFmtId="1" fontId="0" fillId="6" borderId="12" xfId="0" applyNumberFormat="1" applyFill="1" applyBorder="1" applyAlignment="1">
      <alignment horizontal="center" vertical="center"/>
    </xf>
    <xf numFmtId="1" fontId="0" fillId="6" borderId="13" xfId="0" applyNumberForma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18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1" fillId="0" borderId="0" xfId="1" applyAlignment="1">
      <alignment horizontal="center"/>
    </xf>
    <xf numFmtId="0" fontId="0" fillId="3" borderId="0" xfId="0" applyFill="1" applyAlignment="1">
      <alignment horizontal="center"/>
    </xf>
    <xf numFmtId="0" fontId="0" fillId="0" borderId="7" xfId="0" applyBorder="1" applyAlignment="1">
      <alignment horizontal="center"/>
    </xf>
    <xf numFmtId="1" fontId="2" fillId="6" borderId="0" xfId="0" applyNumberFormat="1" applyFont="1" applyFill="1" applyAlignment="1">
      <alignment horizontal="center"/>
    </xf>
  </cellXfs>
  <cellStyles count="5">
    <cellStyle name="Hyperlink" xfId="1" builtinId="8"/>
    <cellStyle name="Input" xfId="3" builtinId="20"/>
    <cellStyle name="Normal" xfId="0" builtinId="0"/>
    <cellStyle name="Output" xfId="4" builtinId="21"/>
    <cellStyle name="Percent" xfId="2" builtinId="5"/>
  </cellStyles>
  <dxfs count="35"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FF99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54297</xdr:colOff>
      <xdr:row>0</xdr:row>
      <xdr:rowOff>149088</xdr:rowOff>
    </xdr:from>
    <xdr:to>
      <xdr:col>16</xdr:col>
      <xdr:colOff>302185</xdr:colOff>
      <xdr:row>24</xdr:row>
      <xdr:rowOff>79138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78819" y="149088"/>
          <a:ext cx="3511236" cy="45638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8164</xdr:colOff>
      <xdr:row>8</xdr:row>
      <xdr:rowOff>9526</xdr:rowOff>
    </xdr:from>
    <xdr:to>
      <xdr:col>14</xdr:col>
      <xdr:colOff>530696</xdr:colOff>
      <xdr:row>9</xdr:row>
      <xdr:rowOff>9527</xdr:rowOff>
    </xdr:to>
    <xdr:sp macro="" textlink="">
      <xdr:nvSpPr>
        <xdr:cNvPr id="3" name="Freccia a destra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14867164" y="2343151"/>
          <a:ext cx="522532" cy="200026"/>
        </a:xfrm>
        <a:prstGeom prst="righ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 editAs="oneCell">
    <xdr:from>
      <xdr:col>9</xdr:col>
      <xdr:colOff>63499</xdr:colOff>
      <xdr:row>1</xdr:row>
      <xdr:rowOff>63500</xdr:rowOff>
    </xdr:from>
    <xdr:to>
      <xdr:col>12</xdr:col>
      <xdr:colOff>873124</xdr:colOff>
      <xdr:row>19</xdr:row>
      <xdr:rowOff>150276</xdr:rowOff>
    </xdr:to>
    <xdr:pic>
      <xdr:nvPicPr>
        <xdr:cNvPr id="4" name="Immagine 144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24749" y="269875"/>
          <a:ext cx="3317875" cy="445240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168851</xdr:colOff>
      <xdr:row>1</xdr:row>
      <xdr:rowOff>165652</xdr:rowOff>
    </xdr:from>
    <xdr:to>
      <xdr:col>16</xdr:col>
      <xdr:colOff>574699</xdr:colOff>
      <xdr:row>26</xdr:row>
      <xdr:rowOff>41413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35394" y="364435"/>
          <a:ext cx="3669196" cy="469623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481154</xdr:colOff>
      <xdr:row>0</xdr:row>
      <xdr:rowOff>148046</xdr:rowOff>
    </xdr:from>
    <xdr:to>
      <xdr:col>12</xdr:col>
      <xdr:colOff>16904</xdr:colOff>
      <xdr:row>17</xdr:row>
      <xdr:rowOff>176214</xdr:rowOff>
    </xdr:to>
    <xdr:pic>
      <xdr:nvPicPr>
        <xdr:cNvPr id="145" name="Immagine 144">
          <a:extLst>
            <a:ext uri="{FF2B5EF4-FFF2-40B4-BE49-F238E27FC236}">
              <a16:creationId xmlns:a16="http://schemas.microsoft.com/office/drawing/2014/main" id="{00000000-0008-0000-07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24211" y="148046"/>
          <a:ext cx="3193350" cy="4281761"/>
        </a:xfrm>
        <a:prstGeom prst="rect">
          <a:avLst/>
        </a:prstGeom>
      </xdr:spPr>
    </xdr:pic>
    <xdr:clientData/>
  </xdr:twoCellAnchor>
  <xdr:twoCellAnchor>
    <xdr:from>
      <xdr:col>13</xdr:col>
      <xdr:colOff>65314</xdr:colOff>
      <xdr:row>7</xdr:row>
      <xdr:rowOff>201704</xdr:rowOff>
    </xdr:from>
    <xdr:to>
      <xdr:col>13</xdr:col>
      <xdr:colOff>587846</xdr:colOff>
      <xdr:row>9</xdr:row>
      <xdr:rowOff>0</xdr:rowOff>
    </xdr:to>
    <xdr:sp macro="" textlink="">
      <xdr:nvSpPr>
        <xdr:cNvPr id="2" name="Freccia a destra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13792520" y="2342028"/>
          <a:ext cx="522532" cy="201707"/>
        </a:xfrm>
        <a:prstGeom prst="righ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171606</xdr:colOff>
      <xdr:row>6</xdr:row>
      <xdr:rowOff>121920</xdr:rowOff>
    </xdr:from>
    <xdr:to>
      <xdr:col>10</xdr:col>
      <xdr:colOff>491069</xdr:colOff>
      <xdr:row>29</xdr:row>
      <xdr:rowOff>83820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1346" y="1226820"/>
          <a:ext cx="2757863" cy="4168140"/>
        </a:xfrm>
        <a:prstGeom prst="rect">
          <a:avLst/>
        </a:prstGeom>
      </xdr:spPr>
    </xdr:pic>
    <xdr:clientData/>
  </xdr:twoCellAnchor>
  <xdr:twoCellAnchor editAs="oneCell">
    <xdr:from>
      <xdr:col>11</xdr:col>
      <xdr:colOff>45720</xdr:colOff>
      <xdr:row>1</xdr:row>
      <xdr:rowOff>68580</xdr:rowOff>
    </xdr:from>
    <xdr:to>
      <xdr:col>19</xdr:col>
      <xdr:colOff>106680</xdr:colOff>
      <xdr:row>29</xdr:row>
      <xdr:rowOff>39031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33460" y="251460"/>
          <a:ext cx="4937760" cy="5098711"/>
        </a:xfrm>
        <a:prstGeom prst="rect">
          <a:avLst/>
        </a:prstGeom>
      </xdr:spPr>
    </xdr:pic>
    <xdr:clientData/>
  </xdr:twoCellAnchor>
  <xdr:twoCellAnchor editAs="oneCell">
    <xdr:from>
      <xdr:col>6</xdr:col>
      <xdr:colOff>304800</xdr:colOff>
      <xdr:row>33</xdr:row>
      <xdr:rowOff>160020</xdr:rowOff>
    </xdr:from>
    <xdr:to>
      <xdr:col>18</xdr:col>
      <xdr:colOff>46743</xdr:colOff>
      <xdr:row>46</xdr:row>
      <xdr:rowOff>39723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44540" y="5661660"/>
          <a:ext cx="7057143" cy="2257143"/>
        </a:xfrm>
        <a:prstGeom prst="rect">
          <a:avLst/>
        </a:prstGeom>
      </xdr:spPr>
    </xdr:pic>
    <xdr:clientData/>
  </xdr:twoCellAnchor>
  <xdr:twoCellAnchor editAs="oneCell">
    <xdr:from>
      <xdr:col>6</xdr:col>
      <xdr:colOff>297180</xdr:colOff>
      <xdr:row>46</xdr:row>
      <xdr:rowOff>38100</xdr:rowOff>
    </xdr:from>
    <xdr:to>
      <xdr:col>15</xdr:col>
      <xdr:colOff>346428</xdr:colOff>
      <xdr:row>61</xdr:row>
      <xdr:rowOff>148075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836920" y="8100060"/>
          <a:ext cx="5535648" cy="2853175"/>
        </a:xfrm>
        <a:prstGeom prst="rect">
          <a:avLst/>
        </a:prstGeom>
      </xdr:spPr>
    </xdr:pic>
    <xdr:clientData/>
  </xdr:twoCellAnchor>
  <xdr:oneCellAnchor>
    <xdr:from>
      <xdr:col>7</xdr:col>
      <xdr:colOff>243840</xdr:colOff>
      <xdr:row>51</xdr:row>
      <xdr:rowOff>129540</xdr:rowOff>
    </xdr:from>
    <xdr:ext cx="288669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 txBox="1"/>
      </xdr:nvSpPr>
      <xdr:spPr>
        <a:xfrm>
          <a:off x="6393180" y="8923020"/>
          <a:ext cx="288669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/>
            <a:t>1</a:t>
          </a:r>
        </a:p>
      </xdr:txBody>
    </xdr:sp>
    <xdr:clientData/>
  </xdr:oneCellAnchor>
  <xdr:oneCellAnchor>
    <xdr:from>
      <xdr:col>9</xdr:col>
      <xdr:colOff>487680</xdr:colOff>
      <xdr:row>51</xdr:row>
      <xdr:rowOff>137160</xdr:rowOff>
    </xdr:from>
    <xdr:ext cx="288669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 txBox="1"/>
      </xdr:nvSpPr>
      <xdr:spPr>
        <a:xfrm>
          <a:off x="7856220" y="8930640"/>
          <a:ext cx="288669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/>
            <a:t>2</a:t>
          </a:r>
        </a:p>
      </xdr:txBody>
    </xdr:sp>
    <xdr:clientData/>
  </xdr:oneCellAnchor>
  <xdr:oneCellAnchor>
    <xdr:from>
      <xdr:col>12</xdr:col>
      <xdr:colOff>228600</xdr:colOff>
      <xdr:row>51</xdr:row>
      <xdr:rowOff>99060</xdr:rowOff>
    </xdr:from>
    <xdr:ext cx="288669" cy="37326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 txBox="1"/>
      </xdr:nvSpPr>
      <xdr:spPr>
        <a:xfrm>
          <a:off x="9425940" y="8892540"/>
          <a:ext cx="288669" cy="3732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600" b="1"/>
            <a:t>3</a:t>
          </a:r>
        </a:p>
      </xdr:txBody>
    </xdr:sp>
    <xdr:clientData/>
  </xdr:oneCellAnchor>
  <xdr:oneCellAnchor>
    <xdr:from>
      <xdr:col>14</xdr:col>
      <xdr:colOff>434340</xdr:colOff>
      <xdr:row>51</xdr:row>
      <xdr:rowOff>60960</xdr:rowOff>
    </xdr:from>
    <xdr:ext cx="288669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 txBox="1"/>
      </xdr:nvSpPr>
      <xdr:spPr>
        <a:xfrm>
          <a:off x="10850880" y="8854440"/>
          <a:ext cx="288669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/>
            <a:t>4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heel%20travel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heel travel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www.federnshop.com/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55A19-2EE1-409A-AAD4-61184AD7B264}">
  <sheetPr>
    <tabColor rgb="FFFFFF00"/>
  </sheetPr>
  <dimension ref="B2:F22"/>
  <sheetViews>
    <sheetView workbookViewId="0"/>
  </sheetViews>
  <sheetFormatPr defaultRowHeight="15" x14ac:dyDescent="0.25"/>
  <cols>
    <col min="1" max="1" width="3.7109375" customWidth="1"/>
    <col min="2" max="2" width="24.140625" customWidth="1"/>
  </cols>
  <sheetData>
    <row r="2" spans="2:6" x14ac:dyDescent="0.25">
      <c r="B2" s="278" t="s">
        <v>263</v>
      </c>
    </row>
    <row r="4" spans="2:6" x14ac:dyDescent="0.25">
      <c r="B4" s="279" t="s">
        <v>255</v>
      </c>
      <c r="C4" s="280" t="s">
        <v>256</v>
      </c>
      <c r="D4" s="281"/>
      <c r="E4" s="282"/>
      <c r="F4" s="283"/>
    </row>
    <row r="5" spans="2:6" x14ac:dyDescent="0.25">
      <c r="B5" s="284"/>
      <c r="F5" s="285"/>
    </row>
    <row r="6" spans="2:6" x14ac:dyDescent="0.25">
      <c r="B6" s="284"/>
      <c r="C6" s="42" t="s">
        <v>93</v>
      </c>
      <c r="D6" s="42" t="s">
        <v>94</v>
      </c>
      <c r="E6" s="42" t="s">
        <v>264</v>
      </c>
      <c r="F6" s="285"/>
    </row>
    <row r="7" spans="2:6" x14ac:dyDescent="0.25">
      <c r="B7" s="286" t="s">
        <v>258</v>
      </c>
      <c r="C7" s="287">
        <v>190</v>
      </c>
      <c r="D7" s="287">
        <v>210</v>
      </c>
      <c r="E7" s="288"/>
      <c r="F7" s="289" t="s">
        <v>259</v>
      </c>
    </row>
    <row r="8" spans="2:6" x14ac:dyDescent="0.25">
      <c r="B8" s="286" t="s">
        <v>260</v>
      </c>
      <c r="C8" s="288">
        <v>88</v>
      </c>
      <c r="D8" s="288">
        <v>106</v>
      </c>
      <c r="E8" s="290">
        <f>C8/(C8+D8)</f>
        <v>0.45360824742268041</v>
      </c>
      <c r="F8" s="289" t="s">
        <v>259</v>
      </c>
    </row>
    <row r="9" spans="2:6" x14ac:dyDescent="0.25">
      <c r="B9" s="291" t="s">
        <v>253</v>
      </c>
      <c r="C9" s="288">
        <v>2.9</v>
      </c>
      <c r="D9" s="288">
        <v>3.1</v>
      </c>
      <c r="E9" s="292">
        <f t="shared" ref="E9:E12" si="0">C9/(C9+D9)</f>
        <v>0.48333333333333334</v>
      </c>
      <c r="F9" s="289" t="s">
        <v>257</v>
      </c>
    </row>
    <row r="10" spans="2:6" x14ac:dyDescent="0.25">
      <c r="B10" s="286" t="s">
        <v>254</v>
      </c>
      <c r="C10" s="288">
        <v>2.58</v>
      </c>
      <c r="D10" s="288">
        <v>2.69</v>
      </c>
      <c r="E10" s="290">
        <f t="shared" si="0"/>
        <v>0.4895635673624289</v>
      </c>
      <c r="F10" s="289" t="s">
        <v>257</v>
      </c>
    </row>
    <row r="11" spans="2:6" x14ac:dyDescent="0.25">
      <c r="B11" s="286" t="s">
        <v>266</v>
      </c>
      <c r="C11" s="288">
        <v>1200</v>
      </c>
      <c r="D11" s="288">
        <v>100</v>
      </c>
      <c r="E11" s="290"/>
      <c r="F11" s="289" t="s">
        <v>267</v>
      </c>
    </row>
    <row r="12" spans="2:6" x14ac:dyDescent="0.25">
      <c r="B12" s="293" t="s">
        <v>268</v>
      </c>
      <c r="C12" s="294">
        <v>3401</v>
      </c>
      <c r="D12" s="294">
        <v>2579</v>
      </c>
      <c r="E12" s="295">
        <f t="shared" si="0"/>
        <v>0.56872909698996654</v>
      </c>
      <c r="F12" s="296" t="s">
        <v>267</v>
      </c>
    </row>
    <row r="14" spans="2:6" x14ac:dyDescent="0.25">
      <c r="B14" s="279" t="s">
        <v>255</v>
      </c>
      <c r="C14" s="280" t="s">
        <v>265</v>
      </c>
      <c r="D14" s="281"/>
      <c r="E14" s="282"/>
      <c r="F14" s="283"/>
    </row>
    <row r="15" spans="2:6" x14ac:dyDescent="0.25">
      <c r="B15" s="284"/>
      <c r="F15" s="285"/>
    </row>
    <row r="16" spans="2:6" x14ac:dyDescent="0.25">
      <c r="B16" s="284"/>
      <c r="C16" s="42" t="s">
        <v>93</v>
      </c>
      <c r="D16" s="42" t="s">
        <v>94</v>
      </c>
      <c r="E16" s="42" t="s">
        <v>264</v>
      </c>
      <c r="F16" s="285"/>
    </row>
    <row r="17" spans="2:6" x14ac:dyDescent="0.25">
      <c r="B17" s="286" t="s">
        <v>258</v>
      </c>
      <c r="C17" s="287">
        <v>230</v>
      </c>
      <c r="D17" s="287">
        <v>270</v>
      </c>
      <c r="E17" s="288"/>
      <c r="F17" s="289" t="s">
        <v>259</v>
      </c>
    </row>
    <row r="18" spans="2:6" x14ac:dyDescent="0.25">
      <c r="B18" s="286" t="s">
        <v>260</v>
      </c>
      <c r="C18" s="288">
        <v>106</v>
      </c>
      <c r="D18" s="288">
        <v>125</v>
      </c>
      <c r="E18" s="290">
        <f>C18/(C18+D18)</f>
        <v>0.45887445887445888</v>
      </c>
      <c r="F18" s="289" t="s">
        <v>259</v>
      </c>
    </row>
    <row r="19" spans="2:6" x14ac:dyDescent="0.25">
      <c r="B19" s="291" t="s">
        <v>253</v>
      </c>
      <c r="C19" s="288">
        <v>3.2</v>
      </c>
      <c r="D19" s="288">
        <v>3.4</v>
      </c>
      <c r="E19" s="292">
        <f t="shared" ref="E19:E22" si="1">C19/(C19+D19)</f>
        <v>0.48484848484848492</v>
      </c>
      <c r="F19" s="289" t="s">
        <v>257</v>
      </c>
    </row>
    <row r="20" spans="2:6" x14ac:dyDescent="0.25">
      <c r="B20" s="286" t="s">
        <v>254</v>
      </c>
      <c r="C20" s="288">
        <v>2.77</v>
      </c>
      <c r="D20" s="288">
        <v>2.85</v>
      </c>
      <c r="E20" s="290">
        <f t="shared" si="1"/>
        <v>0.49288256227758004</v>
      </c>
      <c r="F20" s="289" t="s">
        <v>257</v>
      </c>
    </row>
    <row r="21" spans="2:6" x14ac:dyDescent="0.25">
      <c r="B21" s="286" t="s">
        <v>266</v>
      </c>
      <c r="C21" s="288">
        <v>1700</v>
      </c>
      <c r="D21" s="288">
        <v>100</v>
      </c>
      <c r="E21" s="290"/>
      <c r="F21" s="289" t="s">
        <v>267</v>
      </c>
    </row>
    <row r="22" spans="2:6" x14ac:dyDescent="0.25">
      <c r="B22" s="293" t="s">
        <v>268</v>
      </c>
      <c r="C22" s="294">
        <v>3864</v>
      </c>
      <c r="D22" s="294">
        <v>3010</v>
      </c>
      <c r="E22" s="295">
        <f t="shared" si="1"/>
        <v>0.56211812627291247</v>
      </c>
      <c r="F22" s="296" t="s">
        <v>267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2">
    <tabColor theme="9"/>
  </sheetPr>
  <dimension ref="B1:N33"/>
  <sheetViews>
    <sheetView zoomScaleNormal="100" workbookViewId="0">
      <selection activeCell="C24" sqref="C24"/>
    </sheetView>
  </sheetViews>
  <sheetFormatPr defaultRowHeight="15" x14ac:dyDescent="0.25"/>
  <cols>
    <col min="1" max="1" width="3.7109375" customWidth="1"/>
    <col min="2" max="2" width="35.5703125" bestFit="1" customWidth="1"/>
    <col min="3" max="3" width="6.140625" style="146" bestFit="1" customWidth="1"/>
    <col min="4" max="4" width="8.140625" style="146" customWidth="1"/>
    <col min="6" max="6" width="34.5703125" bestFit="1" customWidth="1"/>
    <col min="7" max="7" width="6.140625" style="146" bestFit="1" customWidth="1"/>
    <col min="8" max="8" width="8.140625" style="146" customWidth="1"/>
    <col min="10" max="10" width="22.85546875" bestFit="1" customWidth="1"/>
    <col min="11" max="12" width="9.140625" style="146"/>
    <col min="15" max="15" width="15.7109375" customWidth="1"/>
  </cols>
  <sheetData>
    <row r="1" spans="2:14" ht="15.75" thickBot="1" x14ac:dyDescent="0.3"/>
    <row r="2" spans="2:14" ht="15.75" thickBot="1" x14ac:dyDescent="0.3">
      <c r="B2" s="298" t="s">
        <v>249</v>
      </c>
      <c r="C2" s="299"/>
      <c r="D2" s="300"/>
      <c r="F2" s="301" t="s">
        <v>13</v>
      </c>
      <c r="G2" s="302"/>
      <c r="H2" s="303"/>
      <c r="J2" s="4" t="s">
        <v>73</v>
      </c>
    </row>
    <row r="3" spans="2:14" x14ac:dyDescent="0.25">
      <c r="B3" s="2" t="s">
        <v>0</v>
      </c>
      <c r="C3" s="152">
        <v>2250</v>
      </c>
      <c r="D3" s="149" t="s">
        <v>1</v>
      </c>
      <c r="F3" s="2" t="s">
        <v>0</v>
      </c>
      <c r="G3" s="152">
        <v>1400</v>
      </c>
      <c r="H3" s="149" t="s">
        <v>1</v>
      </c>
      <c r="J3" s="64" t="s">
        <v>74</v>
      </c>
      <c r="N3" s="1"/>
    </row>
    <row r="4" spans="2:14" x14ac:dyDescent="0.25">
      <c r="B4" s="2" t="s">
        <v>5</v>
      </c>
      <c r="C4" s="153">
        <v>0.5</v>
      </c>
      <c r="D4" s="149"/>
      <c r="F4" s="2" t="s">
        <v>5</v>
      </c>
      <c r="G4" s="153">
        <v>0.46</v>
      </c>
      <c r="H4" s="149"/>
      <c r="J4" s="61" t="s">
        <v>75</v>
      </c>
    </row>
    <row r="5" spans="2:14" x14ac:dyDescent="0.25">
      <c r="B5" s="2" t="s">
        <v>6</v>
      </c>
      <c r="C5" s="153">
        <v>0.5</v>
      </c>
      <c r="D5" s="149"/>
      <c r="F5" s="2" t="s">
        <v>6</v>
      </c>
      <c r="G5" s="153">
        <v>0.54</v>
      </c>
      <c r="H5" s="149"/>
      <c r="J5" s="65" t="s">
        <v>78</v>
      </c>
    </row>
    <row r="6" spans="2:14" x14ac:dyDescent="0.25">
      <c r="B6" s="2" t="s">
        <v>2</v>
      </c>
      <c r="C6" s="152">
        <v>0</v>
      </c>
      <c r="D6" s="149" t="s">
        <v>1</v>
      </c>
      <c r="F6" s="2" t="s">
        <v>2</v>
      </c>
      <c r="G6" s="152">
        <v>0</v>
      </c>
      <c r="H6" s="149" t="s">
        <v>1</v>
      </c>
      <c r="J6" s="66" t="s">
        <v>79</v>
      </c>
    </row>
    <row r="7" spans="2:14" ht="15.75" thickBot="1" x14ac:dyDescent="0.3">
      <c r="B7" s="2" t="s">
        <v>3</v>
      </c>
      <c r="C7" s="154">
        <v>0</v>
      </c>
      <c r="D7" s="149" t="s">
        <v>1</v>
      </c>
      <c r="F7" s="2" t="s">
        <v>3</v>
      </c>
      <c r="G7" s="154">
        <v>0</v>
      </c>
      <c r="H7" s="149" t="s">
        <v>1</v>
      </c>
      <c r="J7" s="67" t="s">
        <v>80</v>
      </c>
    </row>
    <row r="8" spans="2:14" ht="15.75" thickBot="1" x14ac:dyDescent="0.3">
      <c r="B8" s="2"/>
      <c r="C8" s="155"/>
      <c r="D8" s="149"/>
      <c r="F8" s="2"/>
      <c r="G8" s="155"/>
      <c r="H8" s="149"/>
    </row>
    <row r="9" spans="2:14" x14ac:dyDescent="0.25">
      <c r="B9" s="2" t="s">
        <v>4</v>
      </c>
      <c r="C9" s="156">
        <f>C3+C6+C7</f>
        <v>2250</v>
      </c>
      <c r="D9" s="149" t="s">
        <v>1</v>
      </c>
      <c r="E9" s="1"/>
      <c r="F9" s="2" t="s">
        <v>4</v>
      </c>
      <c r="G9" s="156">
        <f>G3+G6+G7</f>
        <v>1400</v>
      </c>
      <c r="H9" s="149" t="s">
        <v>1</v>
      </c>
      <c r="J9" s="304" t="s">
        <v>95</v>
      </c>
      <c r="K9" s="305"/>
      <c r="L9" s="306"/>
    </row>
    <row r="10" spans="2:14" x14ac:dyDescent="0.25">
      <c r="B10" s="2" t="s">
        <v>7</v>
      </c>
      <c r="C10" s="157">
        <f>C9*C4</f>
        <v>1125</v>
      </c>
      <c r="D10" s="149" t="s">
        <v>1</v>
      </c>
      <c r="F10" s="2" t="s">
        <v>7</v>
      </c>
      <c r="G10" s="157">
        <f>G9*G4</f>
        <v>644</v>
      </c>
      <c r="H10" s="149" t="s">
        <v>1</v>
      </c>
      <c r="J10" s="100" t="s">
        <v>107</v>
      </c>
      <c r="K10" s="174">
        <v>1</v>
      </c>
      <c r="L10" s="175">
        <f>C15</f>
        <v>1</v>
      </c>
    </row>
    <row r="11" spans="2:14" x14ac:dyDescent="0.25">
      <c r="B11" s="2" t="s">
        <v>8</v>
      </c>
      <c r="C11" s="157">
        <f>C9*C5</f>
        <v>1125</v>
      </c>
      <c r="D11" s="149" t="s">
        <v>1</v>
      </c>
      <c r="F11" s="2" t="s">
        <v>8</v>
      </c>
      <c r="G11" s="157">
        <f>G9*G5</f>
        <v>756</v>
      </c>
      <c r="H11" s="149" t="s">
        <v>1</v>
      </c>
      <c r="J11" s="100" t="s">
        <v>108</v>
      </c>
      <c r="K11" s="174">
        <v>2</v>
      </c>
      <c r="L11" s="175">
        <f>+L10</f>
        <v>1</v>
      </c>
    </row>
    <row r="12" spans="2:14" ht="15.75" thickBot="1" x14ac:dyDescent="0.3">
      <c r="B12" s="2" t="s">
        <v>17</v>
      </c>
      <c r="C12" s="152">
        <v>140</v>
      </c>
      <c r="D12" s="149" t="s">
        <v>1</v>
      </c>
      <c r="E12" t="s">
        <v>248</v>
      </c>
      <c r="F12" s="2" t="s">
        <v>17</v>
      </c>
      <c r="G12" s="152">
        <v>60</v>
      </c>
      <c r="H12" s="149" t="s">
        <v>1</v>
      </c>
      <c r="J12" s="101" t="s">
        <v>109</v>
      </c>
      <c r="K12" s="178">
        <v>3</v>
      </c>
      <c r="L12" s="179">
        <f>+L10</f>
        <v>1</v>
      </c>
    </row>
    <row r="13" spans="2:14" ht="15.75" thickBot="1" x14ac:dyDescent="0.3">
      <c r="B13" s="2" t="s">
        <v>18</v>
      </c>
      <c r="C13" s="152">
        <v>140</v>
      </c>
      <c r="D13" s="149" t="s">
        <v>1</v>
      </c>
      <c r="E13" t="s">
        <v>248</v>
      </c>
      <c r="F13" s="2" t="s">
        <v>18</v>
      </c>
      <c r="G13" s="152">
        <v>60</v>
      </c>
      <c r="H13" s="149" t="s">
        <v>1</v>
      </c>
    </row>
    <row r="14" spans="2:14" x14ac:dyDescent="0.25">
      <c r="B14" s="2"/>
      <c r="D14" s="149"/>
      <c r="F14" s="2"/>
      <c r="H14" s="149"/>
      <c r="J14" s="304" t="s">
        <v>92</v>
      </c>
      <c r="K14" s="305"/>
      <c r="L14" s="306"/>
    </row>
    <row r="15" spans="2:14" x14ac:dyDescent="0.25">
      <c r="B15" s="2" t="s">
        <v>136</v>
      </c>
      <c r="C15" s="158">
        <v>1</v>
      </c>
      <c r="D15" s="149"/>
      <c r="F15" s="2" t="s">
        <v>9</v>
      </c>
      <c r="G15" s="158">
        <v>1.45</v>
      </c>
      <c r="H15" s="149"/>
      <c r="J15" s="100" t="s">
        <v>93</v>
      </c>
      <c r="K15" s="176">
        <v>140</v>
      </c>
      <c r="L15" s="167" t="s">
        <v>12</v>
      </c>
    </row>
    <row r="16" spans="2:14" ht="15.75" thickBot="1" x14ac:dyDescent="0.3">
      <c r="B16" s="2" t="s">
        <v>104</v>
      </c>
      <c r="C16" s="152">
        <v>1.7</v>
      </c>
      <c r="D16" s="149" t="s">
        <v>11</v>
      </c>
      <c r="F16" s="2" t="s">
        <v>10</v>
      </c>
      <c r="G16" s="152">
        <v>2.6</v>
      </c>
      <c r="H16" s="149" t="s">
        <v>11</v>
      </c>
      <c r="J16" s="101" t="s">
        <v>94</v>
      </c>
      <c r="K16" s="177">
        <v>150</v>
      </c>
      <c r="L16" s="168" t="s">
        <v>12</v>
      </c>
    </row>
    <row r="17" spans="2:8" x14ac:dyDescent="0.25">
      <c r="B17" s="2" t="s">
        <v>15</v>
      </c>
      <c r="C17" s="152">
        <v>250</v>
      </c>
      <c r="D17" s="149" t="s">
        <v>12</v>
      </c>
      <c r="F17" s="2" t="s">
        <v>15</v>
      </c>
      <c r="G17" s="152">
        <v>278</v>
      </c>
      <c r="H17" s="149" t="s">
        <v>12</v>
      </c>
    </row>
    <row r="18" spans="2:8" x14ac:dyDescent="0.25">
      <c r="B18" s="2"/>
      <c r="D18" s="149"/>
      <c r="F18" s="2"/>
      <c r="H18" s="149"/>
    </row>
    <row r="19" spans="2:8" x14ac:dyDescent="0.25">
      <c r="B19" s="276" t="s">
        <v>137</v>
      </c>
      <c r="C19" s="157">
        <f>2*(PI()*C16*C15)^2*(C10-C12)/1000</f>
        <v>56.190618736722044</v>
      </c>
      <c r="D19" s="149" t="s">
        <v>12</v>
      </c>
      <c r="F19" s="2" t="s">
        <v>137</v>
      </c>
      <c r="G19" s="157">
        <f>2*(PI()*G16*G15)^2*G10/1000</f>
        <v>180.67510210520885</v>
      </c>
      <c r="H19" s="149" t="s">
        <v>12</v>
      </c>
    </row>
    <row r="20" spans="2:8" x14ac:dyDescent="0.25">
      <c r="B20" s="2" t="s">
        <v>138</v>
      </c>
      <c r="C20" s="157">
        <f>(2*(PI()*C16*C15)^2*(C10-C12)*C17*1000/(C17*1000-2*PI()^2*C16^2*(C10-C12)))/1000</f>
        <v>72.481809665847123</v>
      </c>
      <c r="D20" s="149" t="s">
        <v>12</v>
      </c>
      <c r="F20" s="2" t="s">
        <v>138</v>
      </c>
      <c r="G20" s="157">
        <f>(2*(PI()*G16*G15)^2*(G10-G12)*G17*1000/(G17*1000-2*PI()^2*G16^2*(G10-G12)))/1000</f>
        <v>227.65758108456328</v>
      </c>
      <c r="H20" s="149" t="s">
        <v>12</v>
      </c>
    </row>
    <row r="21" spans="2:8" x14ac:dyDescent="0.25">
      <c r="B21" s="2"/>
      <c r="D21" s="149"/>
      <c r="F21" s="2"/>
      <c r="H21" s="149"/>
    </row>
    <row r="22" spans="2:8" x14ac:dyDescent="0.25">
      <c r="B22" s="2" t="s">
        <v>138</v>
      </c>
      <c r="C22" s="154">
        <v>70</v>
      </c>
      <c r="D22" s="149" t="s">
        <v>12</v>
      </c>
      <c r="F22" s="2" t="s">
        <v>138</v>
      </c>
      <c r="G22" s="154">
        <v>310</v>
      </c>
      <c r="H22" s="149" t="s">
        <v>12</v>
      </c>
    </row>
    <row r="23" spans="2:8" x14ac:dyDescent="0.25">
      <c r="B23" s="2" t="s">
        <v>139</v>
      </c>
      <c r="C23" s="159">
        <f>1/(2*PI())*SQRT(1000*(C22/C15^2+C17)/(C12*0.5))</f>
        <v>10.760838185215222</v>
      </c>
      <c r="D23" s="149" t="s">
        <v>11</v>
      </c>
      <c r="F23" s="2" t="s">
        <v>139</v>
      </c>
      <c r="G23" s="159">
        <f>1/(2*PI())*SQRT(1000*(G22/G15^2+G17)/(G12*0.5))</f>
        <v>18.95310901954478</v>
      </c>
      <c r="H23" s="149" t="s">
        <v>11</v>
      </c>
    </row>
    <row r="24" spans="2:8" x14ac:dyDescent="0.25">
      <c r="B24" s="2" t="s">
        <v>140</v>
      </c>
      <c r="C24" s="160">
        <f>((C22/C15^2)^-1+C17^-1)^-1</f>
        <v>54.687499999999993</v>
      </c>
      <c r="D24" s="149" t="s">
        <v>12</v>
      </c>
      <c r="F24" s="2" t="s">
        <v>141</v>
      </c>
      <c r="G24" s="160">
        <f>((G22/G15^2)^-1+G17^-1)^-1</f>
        <v>96.344864979681262</v>
      </c>
      <c r="H24" s="149" t="s">
        <v>12</v>
      </c>
    </row>
    <row r="25" spans="2:8" ht="15.75" thickBot="1" x14ac:dyDescent="0.3">
      <c r="B25" s="49" t="s">
        <v>135</v>
      </c>
      <c r="C25" s="224">
        <f>C22/C15^2</f>
        <v>70</v>
      </c>
      <c r="D25" s="150" t="s">
        <v>12</v>
      </c>
      <c r="F25" s="49" t="s">
        <v>135</v>
      </c>
      <c r="G25" s="224">
        <f>G22/G15^2</f>
        <v>147.44351961950059</v>
      </c>
      <c r="H25" s="150" t="s">
        <v>12</v>
      </c>
    </row>
    <row r="26" spans="2:8" x14ac:dyDescent="0.25">
      <c r="E26">
        <v>1.6</v>
      </c>
    </row>
    <row r="27" spans="2:8" x14ac:dyDescent="0.25">
      <c r="B27" s="274" t="s">
        <v>255</v>
      </c>
      <c r="C27" s="275" t="s">
        <v>256</v>
      </c>
      <c r="D27" s="275"/>
    </row>
    <row r="28" spans="2:8" x14ac:dyDescent="0.25">
      <c r="B28" s="274" t="s">
        <v>258</v>
      </c>
      <c r="C28" s="275">
        <v>190</v>
      </c>
      <c r="D28" s="275" t="s">
        <v>259</v>
      </c>
    </row>
    <row r="29" spans="2:8" x14ac:dyDescent="0.25">
      <c r="B29" s="274" t="s">
        <v>260</v>
      </c>
      <c r="C29" s="275">
        <v>88</v>
      </c>
      <c r="D29" s="275" t="s">
        <v>259</v>
      </c>
    </row>
    <row r="30" spans="2:8" x14ac:dyDescent="0.25">
      <c r="B30" s="274" t="s">
        <v>253</v>
      </c>
      <c r="C30" s="275">
        <v>2.9</v>
      </c>
      <c r="D30" s="275" t="s">
        <v>257</v>
      </c>
    </row>
    <row r="31" spans="2:8" x14ac:dyDescent="0.25">
      <c r="B31" s="274" t="s">
        <v>254</v>
      </c>
      <c r="C31" s="275">
        <v>2.58</v>
      </c>
      <c r="D31" s="275" t="s">
        <v>257</v>
      </c>
    </row>
    <row r="33" spans="2:2" x14ac:dyDescent="0.25">
      <c r="B33" s="277" t="s">
        <v>261</v>
      </c>
    </row>
  </sheetData>
  <mergeCells count="4">
    <mergeCell ref="B2:D2"/>
    <mergeCell ref="F2:H2"/>
    <mergeCell ref="J9:L9"/>
    <mergeCell ref="J14:L14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oglio3">
    <tabColor theme="9"/>
  </sheetPr>
  <dimension ref="A1:Q16"/>
  <sheetViews>
    <sheetView topLeftCell="B1" zoomScale="115" zoomScaleNormal="115" workbookViewId="0">
      <selection activeCell="H16" sqref="H16"/>
    </sheetView>
  </sheetViews>
  <sheetFormatPr defaultRowHeight="15" x14ac:dyDescent="0.25"/>
  <cols>
    <col min="1" max="1" width="2.42578125" hidden="1" customWidth="1"/>
    <col min="2" max="2" width="23.42578125" bestFit="1" customWidth="1"/>
    <col min="3" max="4" width="9.140625" style="146"/>
    <col min="5" max="5" width="19" style="146" bestFit="1" customWidth="1"/>
    <col min="7" max="7" width="11.28515625" customWidth="1"/>
    <col min="8" max="8" width="11.140625" style="146" bestFit="1" customWidth="1"/>
    <col min="9" max="11" width="9.140625" style="146"/>
    <col min="13" max="13" width="20.5703125" bestFit="1" customWidth="1"/>
  </cols>
  <sheetData>
    <row r="1" spans="1:17" ht="15.75" thickBot="1" x14ac:dyDescent="0.3"/>
    <row r="2" spans="1:17" ht="15.75" thickBot="1" x14ac:dyDescent="0.3">
      <c r="G2" s="307" t="s">
        <v>101</v>
      </c>
      <c r="H2" s="308"/>
      <c r="I2" s="308"/>
      <c r="J2" s="308"/>
      <c r="K2" s="309"/>
      <c r="M2" s="4" t="s">
        <v>73</v>
      </c>
    </row>
    <row r="3" spans="1:17" x14ac:dyDescent="0.25">
      <c r="B3" s="43" t="s">
        <v>70</v>
      </c>
      <c r="C3" s="180">
        <f>+C4+C5</f>
        <v>90</v>
      </c>
      <c r="D3" s="148" t="s">
        <v>43</v>
      </c>
      <c r="E3" s="198" t="s">
        <v>72</v>
      </c>
      <c r="G3" s="21"/>
      <c r="H3" s="172" t="s">
        <v>76</v>
      </c>
      <c r="I3" s="172" t="s">
        <v>112</v>
      </c>
      <c r="J3" s="172"/>
      <c r="K3" s="173"/>
      <c r="M3" s="64" t="s">
        <v>74</v>
      </c>
      <c r="O3" s="310"/>
      <c r="P3" s="310"/>
      <c r="Q3" s="310"/>
    </row>
    <row r="4" spans="1:17" x14ac:dyDescent="0.25">
      <c r="B4" s="44" t="s">
        <v>39</v>
      </c>
      <c r="C4" s="181">
        <v>30</v>
      </c>
      <c r="D4" s="149" t="s">
        <v>43</v>
      </c>
      <c r="E4" s="199">
        <v>0</v>
      </c>
      <c r="G4" s="21" t="s">
        <v>107</v>
      </c>
      <c r="H4" s="189">
        <v>0</v>
      </c>
      <c r="I4" s="48">
        <v>0</v>
      </c>
      <c r="J4" s="58"/>
      <c r="K4" s="17" t="s">
        <v>43</v>
      </c>
      <c r="M4" s="61" t="s">
        <v>75</v>
      </c>
    </row>
    <row r="5" spans="1:17" ht="15.75" thickBot="1" x14ac:dyDescent="0.3">
      <c r="B5" s="45" t="s">
        <v>106</v>
      </c>
      <c r="C5" s="182">
        <v>60</v>
      </c>
      <c r="D5" s="150" t="s">
        <v>43</v>
      </c>
      <c r="E5" s="200">
        <v>0</v>
      </c>
      <c r="G5" s="21" t="s">
        <v>108</v>
      </c>
      <c r="H5" s="189">
        <v>0</v>
      </c>
      <c r="I5" s="57">
        <f>I4+H5</f>
        <v>0</v>
      </c>
      <c r="J5" s="58"/>
      <c r="K5" s="17" t="s">
        <v>43</v>
      </c>
      <c r="L5" s="1"/>
      <c r="M5" s="65" t="s">
        <v>78</v>
      </c>
    </row>
    <row r="6" spans="1:17" ht="15.75" thickBot="1" x14ac:dyDescent="0.3">
      <c r="G6" s="25" t="s">
        <v>109</v>
      </c>
      <c r="H6" s="190">
        <v>0</v>
      </c>
      <c r="I6" s="59">
        <f>I5+H6</f>
        <v>0</v>
      </c>
      <c r="J6" s="60"/>
      <c r="K6" s="18" t="s">
        <v>43</v>
      </c>
      <c r="L6" s="1"/>
      <c r="M6" s="66" t="s">
        <v>79</v>
      </c>
    </row>
    <row r="7" spans="1:17" ht="15.75" thickBot="1" x14ac:dyDescent="0.3">
      <c r="B7" s="43" t="s">
        <v>111</v>
      </c>
      <c r="C7" s="180">
        <f>21*25.4+245*0.35*2</f>
        <v>704.9</v>
      </c>
      <c r="D7" s="148" t="s">
        <v>43</v>
      </c>
      <c r="M7" s="67" t="s">
        <v>80</v>
      </c>
    </row>
    <row r="8" spans="1:17" ht="36.75" x14ac:dyDescent="0.25">
      <c r="B8" s="44" t="s">
        <v>110</v>
      </c>
      <c r="C8" s="181">
        <v>640</v>
      </c>
      <c r="D8" s="149" t="s">
        <v>43</v>
      </c>
      <c r="G8" s="46" t="s">
        <v>77</v>
      </c>
      <c r="H8" s="56">
        <f>0+H9</f>
        <v>0</v>
      </c>
      <c r="I8" s="191" t="s">
        <v>43</v>
      </c>
    </row>
    <row r="9" spans="1:17" ht="49.5" thickBot="1" x14ac:dyDescent="0.3">
      <c r="B9" s="45" t="s">
        <v>71</v>
      </c>
      <c r="C9" s="161">
        <f>(C7-C8)/2</f>
        <v>32.449999999999989</v>
      </c>
      <c r="D9" s="150" t="s">
        <v>43</v>
      </c>
      <c r="G9" s="47" t="s">
        <v>91</v>
      </c>
      <c r="H9" s="62">
        <v>0</v>
      </c>
      <c r="I9" s="192" t="s">
        <v>43</v>
      </c>
    </row>
    <row r="11" spans="1:17" ht="15.75" thickBot="1" x14ac:dyDescent="0.3"/>
    <row r="12" spans="1:17" ht="15.75" thickBot="1" x14ac:dyDescent="0.3">
      <c r="C12" s="311" t="s">
        <v>26</v>
      </c>
      <c r="D12" s="312"/>
      <c r="E12" s="313"/>
      <c r="F12" s="145"/>
      <c r="H12" s="311" t="s">
        <v>27</v>
      </c>
      <c r="I12" s="312"/>
      <c r="J12" s="313"/>
      <c r="K12" s="145"/>
      <c r="N12" s="314"/>
      <c r="O12" s="314"/>
      <c r="P12" s="145"/>
      <c r="Q12" s="145"/>
    </row>
    <row r="13" spans="1:17" ht="15.75" thickBot="1" x14ac:dyDescent="0.3">
      <c r="C13" s="169" t="s">
        <v>20</v>
      </c>
      <c r="D13" s="170" t="s">
        <v>21</v>
      </c>
      <c r="E13" s="171" t="s">
        <v>22</v>
      </c>
      <c r="F13" s="42"/>
      <c r="H13" s="169" t="s">
        <v>20</v>
      </c>
      <c r="I13" s="170" t="s">
        <v>21</v>
      </c>
      <c r="J13" s="171" t="s">
        <v>22</v>
      </c>
      <c r="K13" s="145"/>
      <c r="N13" s="42"/>
      <c r="O13" s="42"/>
      <c r="P13" s="42"/>
      <c r="Q13" s="42"/>
    </row>
    <row r="14" spans="1:17" x14ac:dyDescent="0.25">
      <c r="A14">
        <v>1</v>
      </c>
      <c r="B14" s="4" t="s">
        <v>107</v>
      </c>
      <c r="C14" s="183">
        <f>C15</f>
        <v>90</v>
      </c>
      <c r="D14" s="184">
        <f>C14-E14</f>
        <v>60</v>
      </c>
      <c r="E14" s="193">
        <f>E15+H5</f>
        <v>30</v>
      </c>
      <c r="G14" s="4" t="s">
        <v>23</v>
      </c>
      <c r="H14" s="183">
        <f>C14/'front motion ratio'!$C$15</f>
        <v>90</v>
      </c>
      <c r="I14" s="184">
        <f>D14/'front motion ratio'!$C$15</f>
        <v>60</v>
      </c>
      <c r="J14" s="193">
        <f>E14/'front motion ratio'!$C$15</f>
        <v>30</v>
      </c>
      <c r="M14" s="42"/>
      <c r="N14" s="1"/>
      <c r="O14" s="1"/>
      <c r="P14" s="1"/>
      <c r="Q14" s="1"/>
    </row>
    <row r="15" spans="1:17" x14ac:dyDescent="0.25">
      <c r="A15">
        <v>2</v>
      </c>
      <c r="B15" s="5" t="s">
        <v>108</v>
      </c>
      <c r="C15" s="185">
        <f>D15+E15</f>
        <v>90</v>
      </c>
      <c r="D15" s="186">
        <f>C5-E5-H9</f>
        <v>60</v>
      </c>
      <c r="E15" s="195">
        <f>E16</f>
        <v>30</v>
      </c>
      <c r="G15" s="5" t="s">
        <v>24</v>
      </c>
      <c r="H15" s="194">
        <f>C15/'front motion ratio'!$C$15</f>
        <v>90</v>
      </c>
      <c r="I15" s="186">
        <f>D15/'front motion ratio'!$C$15</f>
        <v>60</v>
      </c>
      <c r="J15" s="195">
        <f>E15/'front motion ratio'!$C$15</f>
        <v>30</v>
      </c>
      <c r="M15" s="42"/>
      <c r="N15" s="1"/>
      <c r="O15" s="1"/>
      <c r="P15" s="1"/>
      <c r="Q15" s="1"/>
    </row>
    <row r="16" spans="1:17" ht="15.75" thickBot="1" x14ac:dyDescent="0.3">
      <c r="A16">
        <v>3</v>
      </c>
      <c r="B16" s="6" t="s">
        <v>109</v>
      </c>
      <c r="C16" s="187">
        <f>D16+E16</f>
        <v>90</v>
      </c>
      <c r="D16" s="188">
        <f>C3-E4-E5-E16</f>
        <v>60</v>
      </c>
      <c r="E16" s="197">
        <f>C4-E4+H9-H6</f>
        <v>30</v>
      </c>
      <c r="G16" s="6" t="s">
        <v>25</v>
      </c>
      <c r="H16" s="196">
        <f>C16/'front motion ratio'!$C$15</f>
        <v>90</v>
      </c>
      <c r="I16" s="188">
        <f>D16/'front motion ratio'!$C$15</f>
        <v>60</v>
      </c>
      <c r="J16" s="197">
        <f>E16/'front motion ratio'!$C$15</f>
        <v>30</v>
      </c>
      <c r="M16" s="42"/>
      <c r="N16" s="1"/>
      <c r="O16" s="1"/>
      <c r="P16" s="1"/>
      <c r="Q16" s="1"/>
    </row>
  </sheetData>
  <mergeCells count="5">
    <mergeCell ref="G2:K2"/>
    <mergeCell ref="O3:Q3"/>
    <mergeCell ref="C12:E12"/>
    <mergeCell ref="H12:J12"/>
    <mergeCell ref="N12:O1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oglio4">
    <tabColor theme="9"/>
    <pageSetUpPr fitToPage="1"/>
  </sheetPr>
  <dimension ref="A1:S355"/>
  <sheetViews>
    <sheetView zoomScale="85" zoomScaleNormal="85" workbookViewId="0">
      <pane xSplit="1" ySplit="10" topLeftCell="B122" activePane="bottomRight" state="frozen"/>
      <selection activeCell="C30" sqref="C30"/>
      <selection pane="topRight" activeCell="C30" sqref="C30"/>
      <selection pane="bottomLeft" activeCell="C30" sqref="C30"/>
      <selection pane="bottomRight" activeCell="N4" sqref="N4"/>
    </sheetView>
  </sheetViews>
  <sheetFormatPr defaultRowHeight="15" x14ac:dyDescent="0.25"/>
  <cols>
    <col min="1" max="1" width="20.85546875" bestFit="1" customWidth="1"/>
    <col min="2" max="2" width="9" customWidth="1"/>
    <col min="3" max="3" width="11.42578125" bestFit="1" customWidth="1"/>
    <col min="4" max="4" width="8.7109375" customWidth="1"/>
    <col min="5" max="5" width="8.28515625" customWidth="1"/>
    <col min="6" max="6" width="10.85546875" customWidth="1"/>
    <col min="7" max="7" width="9" bestFit="1" customWidth="1"/>
    <col min="8" max="8" width="10" bestFit="1" customWidth="1"/>
    <col min="9" max="9" width="13.140625" customWidth="1"/>
    <col min="10" max="10" width="13.7109375" bestFit="1" customWidth="1"/>
    <col min="11" max="11" width="12.85546875" customWidth="1"/>
    <col min="12" max="12" width="13" customWidth="1"/>
    <col min="13" max="13" width="9.7109375" customWidth="1"/>
    <col min="14" max="14" width="10.140625" customWidth="1"/>
    <col min="15" max="15" width="13.140625" bestFit="1" customWidth="1"/>
    <col min="17" max="17" width="20.140625" bestFit="1" customWidth="1"/>
  </cols>
  <sheetData>
    <row r="1" spans="1:17" ht="15.75" thickBot="1" x14ac:dyDescent="0.3"/>
    <row r="2" spans="1:17" ht="15.75" thickBot="1" x14ac:dyDescent="0.3">
      <c r="A2" s="44" t="s">
        <v>142</v>
      </c>
      <c r="B2" s="50">
        <f>'front motion ratio'!C10</f>
        <v>1125</v>
      </c>
      <c r="C2" t="s">
        <v>1</v>
      </c>
      <c r="G2" s="311" t="s">
        <v>26</v>
      </c>
      <c r="H2" s="312"/>
      <c r="I2" s="313"/>
      <c r="L2" s="311" t="s">
        <v>27</v>
      </c>
      <c r="M2" s="312"/>
      <c r="N2" s="313"/>
      <c r="Q2" s="4" t="s">
        <v>73</v>
      </c>
    </row>
    <row r="3" spans="1:17" ht="15.75" thickBot="1" x14ac:dyDescent="0.3">
      <c r="A3" s="42" t="s">
        <v>42</v>
      </c>
      <c r="B3" s="51">
        <f>'front motion ratio'!C15</f>
        <v>1</v>
      </c>
      <c r="G3" s="7" t="s">
        <v>20</v>
      </c>
      <c r="H3" s="8" t="s">
        <v>21</v>
      </c>
      <c r="I3" s="9" t="s">
        <v>22</v>
      </c>
      <c r="L3" s="7" t="s">
        <v>20</v>
      </c>
      <c r="M3" s="8" t="s">
        <v>21</v>
      </c>
      <c r="N3" s="9" t="s">
        <v>22</v>
      </c>
      <c r="Q3" s="64" t="s">
        <v>74</v>
      </c>
    </row>
    <row r="4" spans="1:17" ht="15.75" thickBot="1" x14ac:dyDescent="0.3">
      <c r="E4" s="99">
        <v>1</v>
      </c>
      <c r="F4" s="98" t="str">
        <f>VLOOKUP($E$4,'front wheel travel'!$A$14:$E$16,2)</f>
        <v>Race</v>
      </c>
      <c r="G4" s="96">
        <f>VLOOKUP($E$4,'front wheel travel'!$A$14:$E$16,3)</f>
        <v>90</v>
      </c>
      <c r="H4" s="96">
        <f>G4-I4</f>
        <v>60</v>
      </c>
      <c r="I4" s="97">
        <f>VLOOKUP($E$4,'front wheel travel'!$A$14:$E$16,5)</f>
        <v>30</v>
      </c>
      <c r="K4" s="98" t="str">
        <f>F4</f>
        <v>Race</v>
      </c>
      <c r="L4" s="96">
        <f>I8-H8</f>
        <v>110.10000000000002</v>
      </c>
      <c r="M4" s="96">
        <f>G8-H8</f>
        <v>75.692000000000007</v>
      </c>
      <c r="N4" s="96">
        <f>I8-G8</f>
        <v>34.408000000000015</v>
      </c>
      <c r="Q4" s="61" t="s">
        <v>75</v>
      </c>
    </row>
    <row r="5" spans="1:17" ht="15.75" thickBot="1" x14ac:dyDescent="0.3">
      <c r="F5" s="42"/>
      <c r="I5" s="1"/>
      <c r="K5" s="42"/>
      <c r="L5" s="1"/>
      <c r="M5" s="1"/>
      <c r="N5" s="1"/>
      <c r="Q5" s="65" t="s">
        <v>78</v>
      </c>
    </row>
    <row r="6" spans="1:17" ht="15.75" thickBot="1" x14ac:dyDescent="0.3">
      <c r="G6" s="318" t="s">
        <v>182</v>
      </c>
      <c r="H6" s="319"/>
      <c r="I6" s="319"/>
      <c r="J6" s="320"/>
      <c r="K6" s="42"/>
      <c r="L6" s="42"/>
      <c r="M6" s="1"/>
      <c r="N6" s="1"/>
      <c r="Q6" s="66" t="s">
        <v>79</v>
      </c>
    </row>
    <row r="7" spans="1:17" x14ac:dyDescent="0.25">
      <c r="G7" s="228" t="s">
        <v>181</v>
      </c>
      <c r="H7" s="229" t="s">
        <v>183</v>
      </c>
      <c r="I7" s="229" t="s">
        <v>184</v>
      </c>
      <c r="J7" s="230" t="s">
        <v>185</v>
      </c>
      <c r="K7" s="42"/>
      <c r="Q7" s="126" t="s">
        <v>80</v>
      </c>
    </row>
    <row r="8" spans="1:17" ht="15.75" thickBot="1" x14ac:dyDescent="0.3">
      <c r="G8" s="225">
        <v>449.59199999999998</v>
      </c>
      <c r="H8" s="226">
        <v>373.9</v>
      </c>
      <c r="I8" s="226">
        <v>484</v>
      </c>
      <c r="J8" s="227">
        <v>517.5</v>
      </c>
      <c r="K8" s="42"/>
      <c r="Q8" s="127" t="s">
        <v>102</v>
      </c>
    </row>
    <row r="10" spans="1:17" s="10" customFormat="1" ht="75" x14ac:dyDescent="0.25">
      <c r="B10" s="12" t="s">
        <v>87</v>
      </c>
      <c r="C10" s="12" t="s">
        <v>32</v>
      </c>
      <c r="D10" s="12" t="s">
        <v>29</v>
      </c>
      <c r="E10" s="12" t="s">
        <v>30</v>
      </c>
      <c r="F10" s="12" t="s">
        <v>31</v>
      </c>
      <c r="G10" s="12" t="s">
        <v>28</v>
      </c>
      <c r="H10" s="12" t="s">
        <v>36</v>
      </c>
      <c r="I10" s="13" t="s">
        <v>106</v>
      </c>
      <c r="J10" s="13" t="s">
        <v>144</v>
      </c>
      <c r="K10" s="13" t="s">
        <v>37</v>
      </c>
      <c r="L10" s="11" t="s">
        <v>38</v>
      </c>
      <c r="M10" s="11" t="s">
        <v>39</v>
      </c>
      <c r="O10" s="11" t="s">
        <v>178</v>
      </c>
      <c r="P10" s="144" t="s">
        <v>179</v>
      </c>
    </row>
    <row r="11" spans="1:17" x14ac:dyDescent="0.25">
      <c r="A11" s="315" t="s">
        <v>33</v>
      </c>
      <c r="B11" s="68">
        <v>1</v>
      </c>
      <c r="C11" s="68">
        <v>60110178</v>
      </c>
      <c r="D11" s="68">
        <v>210</v>
      </c>
      <c r="E11" s="91">
        <v>8.25</v>
      </c>
      <c r="F11" s="68">
        <v>128</v>
      </c>
      <c r="G11" s="68">
        <v>30</v>
      </c>
      <c r="H11" s="68">
        <f t="shared" ref="H11:H74" si="0">$B$2/2*9.81*$B$3/G11</f>
        <v>183.9375</v>
      </c>
      <c r="I11" s="87">
        <f>F11-H11</f>
        <v>-55.9375</v>
      </c>
      <c r="J11" s="1">
        <f>I11-$M$4</f>
        <v>-131.62950000000001</v>
      </c>
      <c r="K11" t="str">
        <f>IF(J11&lt;=0,"KO","OK")</f>
        <v>KO</v>
      </c>
      <c r="L11" s="1">
        <f>D11-H11</f>
        <v>26.0625</v>
      </c>
      <c r="M11" s="1">
        <f>D11-L11</f>
        <v>183.9375</v>
      </c>
      <c r="O11" s="160">
        <f>G11/$B$3^2</f>
        <v>30</v>
      </c>
      <c r="P11" s="51">
        <f>G11*I11/$B$3/($B$2*9.81*0.5)</f>
        <v>-0.30411145090044173</v>
      </c>
    </row>
    <row r="12" spans="1:17" x14ac:dyDescent="0.25">
      <c r="A12" s="315"/>
      <c r="B12" s="68">
        <v>2</v>
      </c>
      <c r="C12" s="68">
        <v>60110132</v>
      </c>
      <c r="D12" s="68">
        <v>170</v>
      </c>
      <c r="E12" s="91">
        <v>8.25</v>
      </c>
      <c r="F12" s="68">
        <v>103</v>
      </c>
      <c r="G12" s="68">
        <v>40</v>
      </c>
      <c r="H12" s="68">
        <f t="shared" si="0"/>
        <v>137.953125</v>
      </c>
      <c r="I12" s="1">
        <f t="shared" ref="I12:I75" si="1">F12-H12</f>
        <v>-34.953125</v>
      </c>
      <c r="J12" s="1">
        <f t="shared" ref="J12:J75" si="2">I12-$M$4</f>
        <v>-110.64512500000001</v>
      </c>
      <c r="K12" t="str">
        <f t="shared" ref="K12:K75" si="3">IF(J12&lt;=0,"KO","OK")</f>
        <v>KO</v>
      </c>
      <c r="L12" s="1">
        <f t="shared" ref="L12:L75" si="4">D12-H12</f>
        <v>32.046875</v>
      </c>
      <c r="M12" s="1">
        <f t="shared" ref="M12:M75" si="5">D12-L12</f>
        <v>137.953125</v>
      </c>
      <c r="O12" s="160">
        <f t="shared" ref="O12:O75" si="6">G12/$B$3^2</f>
        <v>40</v>
      </c>
      <c r="P12" s="51">
        <f t="shared" ref="P12:P75" si="7">G12*I12/$B$3/($B$2*9.81*0.5)</f>
        <v>-0.25336957752859895</v>
      </c>
    </row>
    <row r="13" spans="1:17" x14ac:dyDescent="0.25">
      <c r="A13" s="315"/>
      <c r="B13" s="68">
        <v>3</v>
      </c>
      <c r="C13" s="68">
        <v>60110133</v>
      </c>
      <c r="D13" s="68">
        <v>190</v>
      </c>
      <c r="E13" s="91">
        <v>8.75</v>
      </c>
      <c r="F13" s="68">
        <v>108</v>
      </c>
      <c r="G13" s="68">
        <v>40</v>
      </c>
      <c r="H13" s="68">
        <f t="shared" si="0"/>
        <v>137.953125</v>
      </c>
      <c r="I13" s="1">
        <f t="shared" si="1"/>
        <v>-29.953125</v>
      </c>
      <c r="J13" s="1">
        <f t="shared" si="2"/>
        <v>-105.64512500000001</v>
      </c>
      <c r="K13" t="str">
        <f t="shared" si="3"/>
        <v>KO</v>
      </c>
      <c r="L13" s="1">
        <f t="shared" si="4"/>
        <v>52.046875</v>
      </c>
      <c r="M13" s="1">
        <f t="shared" si="5"/>
        <v>137.953125</v>
      </c>
      <c r="O13" s="160">
        <f t="shared" si="6"/>
        <v>40</v>
      </c>
      <c r="P13" s="51">
        <f t="shared" si="7"/>
        <v>-0.21712538226299694</v>
      </c>
    </row>
    <row r="14" spans="1:17" x14ac:dyDescent="0.25">
      <c r="A14" s="315"/>
      <c r="B14" s="68">
        <v>4</v>
      </c>
      <c r="C14" s="68">
        <v>60110134</v>
      </c>
      <c r="D14" s="68">
        <v>230</v>
      </c>
      <c r="E14" s="91">
        <v>9.25</v>
      </c>
      <c r="F14" s="68">
        <v>127</v>
      </c>
      <c r="G14" s="68">
        <v>40</v>
      </c>
      <c r="H14" s="68">
        <f t="shared" si="0"/>
        <v>137.953125</v>
      </c>
      <c r="I14" s="1">
        <f t="shared" si="1"/>
        <v>-10.953125</v>
      </c>
      <c r="J14" s="1">
        <f t="shared" si="2"/>
        <v>-86.645125000000007</v>
      </c>
      <c r="K14" t="str">
        <f t="shared" si="3"/>
        <v>KO</v>
      </c>
      <c r="L14" s="1">
        <f t="shared" si="4"/>
        <v>92.046875</v>
      </c>
      <c r="M14" s="1">
        <f t="shared" si="5"/>
        <v>137.953125</v>
      </c>
      <c r="O14" s="160">
        <f t="shared" si="6"/>
        <v>40</v>
      </c>
      <c r="P14" s="51">
        <f t="shared" si="7"/>
        <v>-7.9397440253709373E-2</v>
      </c>
    </row>
    <row r="15" spans="1:17" x14ac:dyDescent="0.25">
      <c r="A15" s="315"/>
      <c r="B15" s="68">
        <v>5</v>
      </c>
      <c r="C15" s="68">
        <v>60110147</v>
      </c>
      <c r="D15" s="68">
        <v>290</v>
      </c>
      <c r="E15" s="91">
        <v>9.75</v>
      </c>
      <c r="F15" s="68">
        <v>162</v>
      </c>
      <c r="G15" s="68">
        <v>40</v>
      </c>
      <c r="H15" s="68">
        <f t="shared" si="0"/>
        <v>137.953125</v>
      </c>
      <c r="I15" s="1">
        <f t="shared" si="1"/>
        <v>24.046875</v>
      </c>
      <c r="J15" s="1">
        <f t="shared" si="2"/>
        <v>-51.645125000000007</v>
      </c>
      <c r="K15" t="str">
        <f t="shared" si="3"/>
        <v>KO</v>
      </c>
      <c r="L15" s="1">
        <f t="shared" si="4"/>
        <v>152.046875</v>
      </c>
      <c r="M15" s="1">
        <f t="shared" si="5"/>
        <v>137.953125</v>
      </c>
      <c r="O15" s="160">
        <f t="shared" si="6"/>
        <v>40</v>
      </c>
      <c r="P15" s="51">
        <f t="shared" si="7"/>
        <v>0.1743119266055046</v>
      </c>
    </row>
    <row r="16" spans="1:17" x14ac:dyDescent="0.25">
      <c r="A16" s="315"/>
      <c r="B16" s="68">
        <v>6</v>
      </c>
      <c r="C16" s="68">
        <v>60110135</v>
      </c>
      <c r="D16" s="68">
        <v>310</v>
      </c>
      <c r="E16" s="91">
        <v>10</v>
      </c>
      <c r="F16" s="68">
        <v>165</v>
      </c>
      <c r="G16" s="68">
        <v>40</v>
      </c>
      <c r="H16" s="68">
        <f t="shared" si="0"/>
        <v>137.953125</v>
      </c>
      <c r="I16" s="1">
        <f t="shared" si="1"/>
        <v>27.046875</v>
      </c>
      <c r="J16" s="1">
        <f t="shared" si="2"/>
        <v>-48.645125000000007</v>
      </c>
      <c r="K16" t="str">
        <f t="shared" si="3"/>
        <v>KO</v>
      </c>
      <c r="L16" s="1">
        <f t="shared" si="4"/>
        <v>172.046875</v>
      </c>
      <c r="M16" s="1">
        <f t="shared" si="5"/>
        <v>137.953125</v>
      </c>
      <c r="O16" s="160">
        <f t="shared" si="6"/>
        <v>40</v>
      </c>
      <c r="P16" s="51">
        <f t="shared" si="7"/>
        <v>0.19605844376486578</v>
      </c>
    </row>
    <row r="17" spans="1:16" x14ac:dyDescent="0.25">
      <c r="A17" s="315"/>
      <c r="B17" s="68">
        <v>7</v>
      </c>
      <c r="C17" s="68">
        <v>60110111</v>
      </c>
      <c r="D17" s="68">
        <v>140</v>
      </c>
      <c r="E17" s="91">
        <v>8.5</v>
      </c>
      <c r="F17" s="68">
        <v>81</v>
      </c>
      <c r="G17" s="68">
        <v>50</v>
      </c>
      <c r="H17" s="68">
        <f t="shared" si="0"/>
        <v>110.3625</v>
      </c>
      <c r="I17" s="1">
        <f t="shared" si="1"/>
        <v>-29.362499999999997</v>
      </c>
      <c r="J17" s="1">
        <f t="shared" si="2"/>
        <v>-105.0545</v>
      </c>
      <c r="K17" t="str">
        <f t="shared" si="3"/>
        <v>KO</v>
      </c>
      <c r="L17" s="1">
        <f t="shared" si="4"/>
        <v>29.637500000000003</v>
      </c>
      <c r="M17" s="1">
        <f t="shared" si="5"/>
        <v>110.3625</v>
      </c>
      <c r="O17" s="160">
        <f t="shared" si="6"/>
        <v>50</v>
      </c>
      <c r="P17" s="51">
        <f t="shared" si="7"/>
        <v>-0.26605504587155959</v>
      </c>
    </row>
    <row r="18" spans="1:16" x14ac:dyDescent="0.25">
      <c r="A18" s="315"/>
      <c r="B18" s="68">
        <v>8</v>
      </c>
      <c r="C18" s="68">
        <v>60110131</v>
      </c>
      <c r="D18" s="68">
        <v>170</v>
      </c>
      <c r="E18" s="91">
        <v>9</v>
      </c>
      <c r="F18" s="68">
        <v>92</v>
      </c>
      <c r="G18" s="68">
        <v>50</v>
      </c>
      <c r="H18" s="68">
        <f t="shared" si="0"/>
        <v>110.3625</v>
      </c>
      <c r="I18" s="1">
        <f t="shared" si="1"/>
        <v>-18.362499999999997</v>
      </c>
      <c r="J18" s="1">
        <f t="shared" si="2"/>
        <v>-94.054500000000004</v>
      </c>
      <c r="K18" t="str">
        <f t="shared" si="3"/>
        <v>KO</v>
      </c>
      <c r="L18" s="1">
        <f t="shared" si="4"/>
        <v>59.637500000000003</v>
      </c>
      <c r="M18" s="1">
        <f t="shared" si="5"/>
        <v>110.3625</v>
      </c>
      <c r="O18" s="160">
        <f t="shared" si="6"/>
        <v>50</v>
      </c>
      <c r="P18" s="51">
        <f t="shared" si="7"/>
        <v>-0.16638350889115414</v>
      </c>
    </row>
    <row r="19" spans="1:16" x14ac:dyDescent="0.25">
      <c r="A19" s="315"/>
      <c r="B19" s="68">
        <v>9</v>
      </c>
      <c r="C19" s="68">
        <v>60110136</v>
      </c>
      <c r="D19" s="68">
        <v>190</v>
      </c>
      <c r="E19" s="91">
        <v>9.25</v>
      </c>
      <c r="F19" s="68">
        <v>105</v>
      </c>
      <c r="G19" s="68">
        <v>50</v>
      </c>
      <c r="H19" s="68">
        <f t="shared" si="0"/>
        <v>110.3625</v>
      </c>
      <c r="I19" s="1">
        <f t="shared" si="1"/>
        <v>-5.3624999999999972</v>
      </c>
      <c r="J19" s="1">
        <f t="shared" si="2"/>
        <v>-81.054500000000004</v>
      </c>
      <c r="K19" t="str">
        <f t="shared" si="3"/>
        <v>KO</v>
      </c>
      <c r="L19" s="1">
        <f t="shared" si="4"/>
        <v>79.637500000000003</v>
      </c>
      <c r="M19" s="1">
        <f t="shared" si="5"/>
        <v>110.3625</v>
      </c>
      <c r="O19" s="160">
        <f t="shared" si="6"/>
        <v>50</v>
      </c>
      <c r="P19" s="51">
        <f t="shared" si="7"/>
        <v>-4.8589874277947649E-2</v>
      </c>
    </row>
    <row r="20" spans="1:16" x14ac:dyDescent="0.25">
      <c r="A20" s="315"/>
      <c r="B20" s="68">
        <v>10</v>
      </c>
      <c r="C20" s="68">
        <v>60110175</v>
      </c>
      <c r="D20" s="68">
        <v>210</v>
      </c>
      <c r="E20" s="91">
        <v>9.5</v>
      </c>
      <c r="F20" s="68">
        <v>118</v>
      </c>
      <c r="G20" s="68">
        <v>50</v>
      </c>
      <c r="H20" s="68">
        <f t="shared" si="0"/>
        <v>110.3625</v>
      </c>
      <c r="I20" s="1">
        <f t="shared" si="1"/>
        <v>7.6375000000000028</v>
      </c>
      <c r="J20" s="1">
        <f t="shared" si="2"/>
        <v>-68.054500000000004</v>
      </c>
      <c r="K20" t="str">
        <f t="shared" si="3"/>
        <v>KO</v>
      </c>
      <c r="L20" s="1">
        <f t="shared" si="4"/>
        <v>99.637500000000003</v>
      </c>
      <c r="M20" s="1">
        <f t="shared" si="5"/>
        <v>110.3625</v>
      </c>
      <c r="O20" s="160">
        <f t="shared" si="6"/>
        <v>50</v>
      </c>
      <c r="P20" s="51">
        <f t="shared" si="7"/>
        <v>6.9203760335258824E-2</v>
      </c>
    </row>
    <row r="21" spans="1:16" x14ac:dyDescent="0.25">
      <c r="A21" s="315"/>
      <c r="B21" s="68">
        <v>11</v>
      </c>
      <c r="C21" s="68">
        <v>60110137</v>
      </c>
      <c r="D21" s="68">
        <v>230</v>
      </c>
      <c r="E21" s="91">
        <v>9.75</v>
      </c>
      <c r="F21" s="68">
        <v>125</v>
      </c>
      <c r="G21" s="68">
        <v>50</v>
      </c>
      <c r="H21" s="68">
        <f t="shared" si="0"/>
        <v>110.3625</v>
      </c>
      <c r="I21" s="1">
        <f t="shared" si="1"/>
        <v>14.637500000000003</v>
      </c>
      <c r="J21" s="1">
        <f t="shared" si="2"/>
        <v>-61.054500000000004</v>
      </c>
      <c r="K21" t="str">
        <f t="shared" si="3"/>
        <v>KO</v>
      </c>
      <c r="L21" s="1">
        <f t="shared" si="4"/>
        <v>119.6375</v>
      </c>
      <c r="M21" s="1">
        <f t="shared" si="5"/>
        <v>110.3625</v>
      </c>
      <c r="O21" s="160">
        <f t="shared" si="6"/>
        <v>50</v>
      </c>
      <c r="P21" s="51">
        <f t="shared" si="7"/>
        <v>0.13263110205006232</v>
      </c>
    </row>
    <row r="22" spans="1:16" x14ac:dyDescent="0.25">
      <c r="A22" s="315"/>
      <c r="B22" s="68">
        <v>12</v>
      </c>
      <c r="C22" s="68">
        <v>60110148</v>
      </c>
      <c r="D22" s="68">
        <v>290</v>
      </c>
      <c r="E22" s="91">
        <v>10.5</v>
      </c>
      <c r="F22" s="68">
        <v>150</v>
      </c>
      <c r="G22" s="68">
        <v>50</v>
      </c>
      <c r="H22" s="68">
        <f t="shared" si="0"/>
        <v>110.3625</v>
      </c>
      <c r="I22" s="1">
        <f t="shared" si="1"/>
        <v>39.637500000000003</v>
      </c>
      <c r="J22" s="1">
        <f t="shared" si="2"/>
        <v>-36.054500000000004</v>
      </c>
      <c r="K22" t="str">
        <f t="shared" si="3"/>
        <v>KO</v>
      </c>
      <c r="L22" s="1">
        <f t="shared" si="4"/>
        <v>179.63749999999999</v>
      </c>
      <c r="M22" s="1">
        <f t="shared" si="5"/>
        <v>110.36250000000001</v>
      </c>
      <c r="O22" s="160">
        <f t="shared" si="6"/>
        <v>50</v>
      </c>
      <c r="P22" s="51">
        <f t="shared" si="7"/>
        <v>0.35915732246007481</v>
      </c>
    </row>
    <row r="23" spans="1:16" x14ac:dyDescent="0.25">
      <c r="A23" s="315"/>
      <c r="B23" s="68">
        <v>13</v>
      </c>
      <c r="C23" s="68">
        <v>60110138</v>
      </c>
      <c r="D23" s="68">
        <v>310</v>
      </c>
      <c r="E23" s="91">
        <v>10.75</v>
      </c>
      <c r="F23" s="68">
        <v>155</v>
      </c>
      <c r="G23" s="68">
        <v>50</v>
      </c>
      <c r="H23" s="68">
        <f t="shared" si="0"/>
        <v>110.3625</v>
      </c>
      <c r="I23" s="1">
        <f t="shared" si="1"/>
        <v>44.637500000000003</v>
      </c>
      <c r="J23" s="1">
        <f t="shared" si="2"/>
        <v>-31.054500000000004</v>
      </c>
      <c r="K23" t="str">
        <f t="shared" si="3"/>
        <v>KO</v>
      </c>
      <c r="L23" s="1">
        <f t="shared" si="4"/>
        <v>199.63749999999999</v>
      </c>
      <c r="M23" s="1">
        <f t="shared" si="5"/>
        <v>110.36250000000001</v>
      </c>
      <c r="O23" s="160">
        <f t="shared" si="6"/>
        <v>50</v>
      </c>
      <c r="P23" s="51">
        <f t="shared" si="7"/>
        <v>0.40446256654207724</v>
      </c>
    </row>
    <row r="24" spans="1:16" x14ac:dyDescent="0.25">
      <c r="A24" s="315"/>
      <c r="B24" s="68">
        <v>14</v>
      </c>
      <c r="C24" s="68">
        <v>60110193</v>
      </c>
      <c r="D24" s="68">
        <v>130</v>
      </c>
      <c r="E24" s="91">
        <v>8.75</v>
      </c>
      <c r="F24" s="68">
        <v>73</v>
      </c>
      <c r="G24" s="68">
        <v>60</v>
      </c>
      <c r="H24" s="68">
        <f t="shared" si="0"/>
        <v>91.96875</v>
      </c>
      <c r="I24" s="1">
        <f t="shared" si="1"/>
        <v>-18.96875</v>
      </c>
      <c r="J24" s="1">
        <f t="shared" si="2"/>
        <v>-94.660750000000007</v>
      </c>
      <c r="K24" t="str">
        <f t="shared" si="3"/>
        <v>KO</v>
      </c>
      <c r="L24" s="1">
        <f t="shared" si="4"/>
        <v>38.03125</v>
      </c>
      <c r="M24" s="1">
        <f t="shared" si="5"/>
        <v>91.96875</v>
      </c>
      <c r="O24" s="160">
        <f t="shared" si="6"/>
        <v>60</v>
      </c>
      <c r="P24" s="51">
        <f t="shared" si="7"/>
        <v>-0.20625212368331636</v>
      </c>
    </row>
    <row r="25" spans="1:16" x14ac:dyDescent="0.25">
      <c r="A25" s="315"/>
      <c r="B25" s="68">
        <v>15</v>
      </c>
      <c r="C25" s="68">
        <v>60110139</v>
      </c>
      <c r="D25" s="68">
        <v>170</v>
      </c>
      <c r="E25" s="91">
        <v>9.25</v>
      </c>
      <c r="F25" s="68">
        <v>92</v>
      </c>
      <c r="G25" s="68">
        <v>60</v>
      </c>
      <c r="H25" s="68">
        <f t="shared" si="0"/>
        <v>91.96875</v>
      </c>
      <c r="I25" s="1">
        <f t="shared" si="1"/>
        <v>3.125E-2</v>
      </c>
      <c r="J25" s="1">
        <f t="shared" si="2"/>
        <v>-75.660750000000007</v>
      </c>
      <c r="K25" t="str">
        <f t="shared" si="3"/>
        <v>KO</v>
      </c>
      <c r="L25" s="1">
        <f t="shared" si="4"/>
        <v>78.03125</v>
      </c>
      <c r="M25" s="1">
        <f t="shared" si="5"/>
        <v>91.96875</v>
      </c>
      <c r="O25" s="160">
        <f t="shared" si="6"/>
        <v>60</v>
      </c>
      <c r="P25" s="51">
        <f t="shared" si="7"/>
        <v>3.3978933061501872E-4</v>
      </c>
    </row>
    <row r="26" spans="1:16" x14ac:dyDescent="0.25">
      <c r="A26" s="315"/>
      <c r="B26" s="68">
        <v>16</v>
      </c>
      <c r="C26" s="68">
        <v>60110140</v>
      </c>
      <c r="D26" s="68">
        <v>190</v>
      </c>
      <c r="E26" s="91">
        <v>9.75</v>
      </c>
      <c r="F26" s="68">
        <v>100</v>
      </c>
      <c r="G26" s="68">
        <v>60</v>
      </c>
      <c r="H26" s="68">
        <f t="shared" si="0"/>
        <v>91.96875</v>
      </c>
      <c r="I26" s="1">
        <f t="shared" si="1"/>
        <v>8.03125</v>
      </c>
      <c r="J26" s="1">
        <f t="shared" si="2"/>
        <v>-67.660750000000007</v>
      </c>
      <c r="K26" t="str">
        <f t="shared" si="3"/>
        <v>KO</v>
      </c>
      <c r="L26" s="1">
        <f t="shared" si="4"/>
        <v>98.03125</v>
      </c>
      <c r="M26" s="1">
        <f t="shared" si="5"/>
        <v>91.96875</v>
      </c>
      <c r="O26" s="160">
        <f t="shared" si="6"/>
        <v>60</v>
      </c>
      <c r="P26" s="51">
        <f t="shared" si="7"/>
        <v>8.7325857968059806E-2</v>
      </c>
    </row>
    <row r="27" spans="1:16" ht="15.75" thickBot="1" x14ac:dyDescent="0.3">
      <c r="A27" s="315"/>
      <c r="B27" s="68">
        <v>17</v>
      </c>
      <c r="C27" s="68">
        <v>60110174</v>
      </c>
      <c r="D27" s="68">
        <v>210</v>
      </c>
      <c r="E27" s="91">
        <v>10</v>
      </c>
      <c r="F27" s="68">
        <v>114</v>
      </c>
      <c r="G27" s="68">
        <v>60</v>
      </c>
      <c r="H27" s="68">
        <f t="shared" si="0"/>
        <v>91.96875</v>
      </c>
      <c r="I27" s="1">
        <f t="shared" si="1"/>
        <v>22.03125</v>
      </c>
      <c r="J27" s="1">
        <f t="shared" si="2"/>
        <v>-53.660750000000007</v>
      </c>
      <c r="K27" t="str">
        <f t="shared" si="3"/>
        <v>KO</v>
      </c>
      <c r="L27" s="1">
        <f t="shared" si="4"/>
        <v>118.03125</v>
      </c>
      <c r="M27" s="1">
        <f t="shared" si="5"/>
        <v>91.96875</v>
      </c>
      <c r="O27" s="160">
        <f t="shared" si="6"/>
        <v>60</v>
      </c>
      <c r="P27" s="51">
        <f t="shared" si="7"/>
        <v>0.23955147808358818</v>
      </c>
    </row>
    <row r="28" spans="1:16" ht="15.75" thickBot="1" x14ac:dyDescent="0.3">
      <c r="A28" s="315"/>
      <c r="B28" s="90">
        <v>18</v>
      </c>
      <c r="C28" s="69">
        <v>60110141</v>
      </c>
      <c r="D28" s="69">
        <v>230</v>
      </c>
      <c r="E28" s="92">
        <v>10.25</v>
      </c>
      <c r="F28" s="69">
        <v>120</v>
      </c>
      <c r="G28" s="69">
        <v>60</v>
      </c>
      <c r="H28" s="69">
        <f t="shared" si="0"/>
        <v>91.96875</v>
      </c>
      <c r="I28" s="15">
        <f t="shared" si="1"/>
        <v>28.03125</v>
      </c>
      <c r="J28" s="15">
        <f t="shared" si="2"/>
        <v>-47.660750000000007</v>
      </c>
      <c r="K28" s="14" t="str">
        <f t="shared" si="3"/>
        <v>KO</v>
      </c>
      <c r="L28" s="15">
        <f t="shared" si="4"/>
        <v>138.03125</v>
      </c>
      <c r="M28" s="216">
        <f t="shared" si="5"/>
        <v>91.96875</v>
      </c>
      <c r="O28" s="160">
        <f t="shared" si="6"/>
        <v>60</v>
      </c>
      <c r="P28" s="51">
        <f t="shared" si="7"/>
        <v>0.30479102956167176</v>
      </c>
    </row>
    <row r="29" spans="1:16" x14ac:dyDescent="0.25">
      <c r="A29" s="315"/>
      <c r="B29" s="68">
        <v>19</v>
      </c>
      <c r="C29" s="68">
        <v>60110194</v>
      </c>
      <c r="D29" s="68">
        <v>130</v>
      </c>
      <c r="E29" s="91">
        <v>9</v>
      </c>
      <c r="F29" s="68">
        <v>74</v>
      </c>
      <c r="G29" s="68">
        <v>70</v>
      </c>
      <c r="H29" s="68">
        <f t="shared" si="0"/>
        <v>78.830357142857139</v>
      </c>
      <c r="I29" s="1">
        <f t="shared" si="1"/>
        <v>-4.8303571428571388</v>
      </c>
      <c r="J29" s="1">
        <f t="shared" si="2"/>
        <v>-80.522357142857146</v>
      </c>
      <c r="K29" t="str">
        <f t="shared" si="3"/>
        <v>KO</v>
      </c>
      <c r="L29" s="1">
        <f t="shared" si="4"/>
        <v>51.169642857142861</v>
      </c>
      <c r="M29" s="1">
        <f t="shared" si="5"/>
        <v>78.830357142857139</v>
      </c>
      <c r="O29" s="160">
        <f t="shared" si="6"/>
        <v>70</v>
      </c>
      <c r="P29" s="51">
        <f t="shared" si="7"/>
        <v>-6.1275342620908321E-2</v>
      </c>
    </row>
    <row r="30" spans="1:16" x14ac:dyDescent="0.25">
      <c r="A30" s="315"/>
      <c r="B30" s="68">
        <v>20</v>
      </c>
      <c r="C30" s="68">
        <v>60110112</v>
      </c>
      <c r="D30" s="68">
        <v>170</v>
      </c>
      <c r="E30" s="91">
        <v>9.75</v>
      </c>
      <c r="F30" s="68">
        <v>93</v>
      </c>
      <c r="G30" s="68">
        <v>70</v>
      </c>
      <c r="H30" s="68">
        <f t="shared" si="0"/>
        <v>78.830357142857139</v>
      </c>
      <c r="I30" s="1">
        <f t="shared" si="1"/>
        <v>14.169642857142861</v>
      </c>
      <c r="J30" s="1">
        <f t="shared" si="2"/>
        <v>-61.522357142857146</v>
      </c>
      <c r="K30" t="str">
        <f t="shared" si="3"/>
        <v>KO</v>
      </c>
      <c r="L30" s="1">
        <f t="shared" si="4"/>
        <v>91.169642857142861</v>
      </c>
      <c r="M30" s="1">
        <f t="shared" si="5"/>
        <v>78.830357142857139</v>
      </c>
      <c r="O30" s="160">
        <f t="shared" si="6"/>
        <v>70</v>
      </c>
      <c r="P30" s="51">
        <f t="shared" si="7"/>
        <v>0.17974855589534491</v>
      </c>
    </row>
    <row r="31" spans="1:16" ht="15.75" thickBot="1" x14ac:dyDescent="0.3">
      <c r="A31" s="315"/>
      <c r="B31" s="68">
        <v>21</v>
      </c>
      <c r="C31" s="68">
        <v>60110142</v>
      </c>
      <c r="D31" s="68">
        <v>190</v>
      </c>
      <c r="E31" s="91">
        <v>10.25</v>
      </c>
      <c r="F31" s="68">
        <v>93</v>
      </c>
      <c r="G31" s="68">
        <v>70</v>
      </c>
      <c r="H31" s="68">
        <f t="shared" si="0"/>
        <v>78.830357142857139</v>
      </c>
      <c r="I31" s="1">
        <f t="shared" si="1"/>
        <v>14.169642857142861</v>
      </c>
      <c r="J31" s="1">
        <f t="shared" si="2"/>
        <v>-61.522357142857146</v>
      </c>
      <c r="K31" t="str">
        <f t="shared" si="3"/>
        <v>KO</v>
      </c>
      <c r="L31" s="1">
        <f t="shared" si="4"/>
        <v>111.16964285714286</v>
      </c>
      <c r="M31" s="1">
        <f t="shared" si="5"/>
        <v>78.830357142857139</v>
      </c>
      <c r="O31" s="160">
        <f t="shared" si="6"/>
        <v>70</v>
      </c>
      <c r="P31" s="51">
        <f t="shared" si="7"/>
        <v>0.17974855589534491</v>
      </c>
    </row>
    <row r="32" spans="1:16" ht="15.75" thickBot="1" x14ac:dyDescent="0.3">
      <c r="A32" s="315"/>
      <c r="B32" s="90">
        <v>22</v>
      </c>
      <c r="C32" s="69">
        <v>60110143</v>
      </c>
      <c r="D32" s="69">
        <v>230</v>
      </c>
      <c r="E32" s="92">
        <v>10.75</v>
      </c>
      <c r="F32" s="69">
        <v>118</v>
      </c>
      <c r="G32" s="69">
        <v>70</v>
      </c>
      <c r="H32" s="69">
        <f t="shared" si="0"/>
        <v>78.830357142857139</v>
      </c>
      <c r="I32" s="15">
        <f t="shared" si="1"/>
        <v>39.169642857142861</v>
      </c>
      <c r="J32" s="15">
        <f t="shared" si="2"/>
        <v>-36.522357142857146</v>
      </c>
      <c r="K32" s="14" t="str">
        <f t="shared" si="3"/>
        <v>KO</v>
      </c>
      <c r="L32" s="15">
        <f t="shared" si="4"/>
        <v>151.16964285714286</v>
      </c>
      <c r="M32" s="216">
        <f t="shared" si="5"/>
        <v>78.830357142857139</v>
      </c>
      <c r="O32" s="160">
        <f t="shared" si="6"/>
        <v>70</v>
      </c>
      <c r="P32" s="51">
        <f t="shared" si="7"/>
        <v>0.49688526446936243</v>
      </c>
    </row>
    <row r="33" spans="1:16" x14ac:dyDescent="0.25">
      <c r="A33" s="315"/>
      <c r="B33" s="68">
        <v>23</v>
      </c>
      <c r="C33" s="68">
        <v>60110195</v>
      </c>
      <c r="D33" s="68">
        <v>130</v>
      </c>
      <c r="E33" s="91">
        <v>9.5</v>
      </c>
      <c r="F33" s="68">
        <v>68</v>
      </c>
      <c r="G33" s="68">
        <v>80</v>
      </c>
      <c r="H33" s="68">
        <f t="shared" si="0"/>
        <v>68.9765625</v>
      </c>
      <c r="I33" s="1">
        <f t="shared" si="1"/>
        <v>-0.9765625</v>
      </c>
      <c r="J33" s="1">
        <f t="shared" si="2"/>
        <v>-76.668562500000007</v>
      </c>
      <c r="K33" t="str">
        <f t="shared" si="3"/>
        <v>KO</v>
      </c>
      <c r="L33" s="1">
        <f t="shared" si="4"/>
        <v>61.0234375</v>
      </c>
      <c r="M33" s="1">
        <f t="shared" si="5"/>
        <v>68.9765625</v>
      </c>
      <c r="O33" s="160">
        <f t="shared" si="6"/>
        <v>80</v>
      </c>
      <c r="P33" s="51">
        <f t="shared" si="7"/>
        <v>-1.4157888775625779E-2</v>
      </c>
    </row>
    <row r="34" spans="1:16" x14ac:dyDescent="0.25">
      <c r="A34" s="315"/>
      <c r="B34" s="68">
        <v>24</v>
      </c>
      <c r="C34" s="68">
        <v>60110181</v>
      </c>
      <c r="D34" s="68">
        <v>170</v>
      </c>
      <c r="E34" s="91">
        <v>10.25</v>
      </c>
      <c r="F34" s="68">
        <v>87</v>
      </c>
      <c r="G34" s="68">
        <v>80</v>
      </c>
      <c r="H34" s="68">
        <f t="shared" si="0"/>
        <v>68.9765625</v>
      </c>
      <c r="I34" s="1">
        <f t="shared" si="1"/>
        <v>18.0234375</v>
      </c>
      <c r="J34" s="1">
        <f t="shared" si="2"/>
        <v>-57.668562500000007</v>
      </c>
      <c r="K34" t="str">
        <f t="shared" si="3"/>
        <v>KO</v>
      </c>
      <c r="L34" s="1">
        <f t="shared" si="4"/>
        <v>101.0234375</v>
      </c>
      <c r="M34" s="1">
        <f t="shared" si="5"/>
        <v>68.9765625</v>
      </c>
      <c r="O34" s="160">
        <f t="shared" si="6"/>
        <v>80</v>
      </c>
      <c r="P34" s="51">
        <f t="shared" si="7"/>
        <v>0.26129799524294939</v>
      </c>
    </row>
    <row r="35" spans="1:16" x14ac:dyDescent="0.25">
      <c r="A35" s="315"/>
      <c r="B35" s="68">
        <v>25</v>
      </c>
      <c r="C35" s="68">
        <v>60110152</v>
      </c>
      <c r="D35" s="68">
        <v>130</v>
      </c>
      <c r="E35" s="91">
        <v>9.75</v>
      </c>
      <c r="F35" s="68">
        <v>68</v>
      </c>
      <c r="G35" s="68">
        <v>90</v>
      </c>
      <c r="H35" s="68">
        <f t="shared" si="0"/>
        <v>61.3125</v>
      </c>
      <c r="I35" s="1">
        <f t="shared" si="1"/>
        <v>6.6875</v>
      </c>
      <c r="J35" s="1">
        <f t="shared" si="2"/>
        <v>-69.004500000000007</v>
      </c>
      <c r="K35" t="str">
        <f t="shared" si="3"/>
        <v>KO</v>
      </c>
      <c r="L35" s="1">
        <f t="shared" si="4"/>
        <v>68.6875</v>
      </c>
      <c r="M35" s="1">
        <f t="shared" si="5"/>
        <v>61.3125</v>
      </c>
      <c r="O35" s="160">
        <f t="shared" si="6"/>
        <v>90</v>
      </c>
      <c r="P35" s="51">
        <f t="shared" si="7"/>
        <v>0.109072375127421</v>
      </c>
    </row>
    <row r="36" spans="1:16" x14ac:dyDescent="0.25">
      <c r="A36" s="315"/>
      <c r="B36" s="68">
        <v>26</v>
      </c>
      <c r="C36" s="68">
        <v>60110118</v>
      </c>
      <c r="D36" s="68">
        <v>170</v>
      </c>
      <c r="E36" s="91">
        <v>10.5</v>
      </c>
      <c r="F36" s="68">
        <v>88</v>
      </c>
      <c r="G36" s="68">
        <v>90</v>
      </c>
      <c r="H36" s="68">
        <f t="shared" si="0"/>
        <v>61.3125</v>
      </c>
      <c r="I36" s="1">
        <f t="shared" si="1"/>
        <v>26.6875</v>
      </c>
      <c r="J36" s="1">
        <f t="shared" si="2"/>
        <v>-49.004500000000007</v>
      </c>
      <c r="K36" t="str">
        <f t="shared" si="3"/>
        <v>KO</v>
      </c>
      <c r="L36" s="1">
        <f t="shared" si="4"/>
        <v>108.6875</v>
      </c>
      <c r="M36" s="1">
        <f t="shared" si="5"/>
        <v>61.3125</v>
      </c>
      <c r="O36" s="160">
        <f t="shared" si="6"/>
        <v>90</v>
      </c>
      <c r="P36" s="51">
        <f t="shared" si="7"/>
        <v>0.43527013251783891</v>
      </c>
    </row>
    <row r="37" spans="1:16" x14ac:dyDescent="0.25">
      <c r="A37" s="315"/>
      <c r="B37" s="68">
        <v>27</v>
      </c>
      <c r="C37" s="68">
        <v>60110183</v>
      </c>
      <c r="D37" s="68">
        <v>190</v>
      </c>
      <c r="E37" s="91">
        <v>11</v>
      </c>
      <c r="F37" s="68">
        <v>91</v>
      </c>
      <c r="G37" s="68">
        <v>90</v>
      </c>
      <c r="H37" s="68">
        <f t="shared" si="0"/>
        <v>61.3125</v>
      </c>
      <c r="I37" s="1">
        <f t="shared" si="1"/>
        <v>29.6875</v>
      </c>
      <c r="J37" s="1">
        <f t="shared" si="2"/>
        <v>-46.004500000000007</v>
      </c>
      <c r="K37" t="str">
        <f t="shared" si="3"/>
        <v>KO</v>
      </c>
      <c r="L37" s="1">
        <f t="shared" si="4"/>
        <v>128.6875</v>
      </c>
      <c r="M37" s="1">
        <f t="shared" si="5"/>
        <v>61.3125</v>
      </c>
      <c r="O37" s="160">
        <f t="shared" si="6"/>
        <v>90</v>
      </c>
      <c r="P37" s="51">
        <f t="shared" si="7"/>
        <v>0.48419979612640163</v>
      </c>
    </row>
    <row r="38" spans="1:16" x14ac:dyDescent="0.25">
      <c r="A38" s="315"/>
      <c r="B38" s="68">
        <v>28</v>
      </c>
      <c r="C38" s="68">
        <v>60110119</v>
      </c>
      <c r="D38" s="68">
        <v>130</v>
      </c>
      <c r="E38" s="91">
        <v>10.8</v>
      </c>
      <c r="F38" s="68">
        <v>60</v>
      </c>
      <c r="G38" s="68">
        <v>110</v>
      </c>
      <c r="H38" s="68">
        <f t="shared" si="0"/>
        <v>50.164772727272727</v>
      </c>
      <c r="I38" s="1">
        <f t="shared" si="1"/>
        <v>9.8352272727272734</v>
      </c>
      <c r="J38" s="1">
        <f t="shared" si="2"/>
        <v>-65.856772727272727</v>
      </c>
      <c r="K38" t="str">
        <f t="shared" si="3"/>
        <v>KO</v>
      </c>
      <c r="L38" s="1">
        <f t="shared" si="4"/>
        <v>79.83522727272728</v>
      </c>
      <c r="M38" s="1">
        <f t="shared" si="5"/>
        <v>50.16477272727272</v>
      </c>
      <c r="O38" s="160">
        <f t="shared" si="6"/>
        <v>110</v>
      </c>
      <c r="P38" s="51">
        <f t="shared" si="7"/>
        <v>0.19605844376486578</v>
      </c>
    </row>
    <row r="39" spans="1:16" x14ac:dyDescent="0.25">
      <c r="A39" s="315"/>
      <c r="B39" s="68">
        <v>29</v>
      </c>
      <c r="C39" s="68">
        <v>60110153</v>
      </c>
      <c r="D39" s="68">
        <v>130</v>
      </c>
      <c r="E39" s="91">
        <v>10.25</v>
      </c>
      <c r="F39" s="68">
        <v>64</v>
      </c>
      <c r="G39" s="68">
        <v>110</v>
      </c>
      <c r="H39" s="68">
        <f t="shared" si="0"/>
        <v>50.164772727272727</v>
      </c>
      <c r="I39" s="1">
        <f t="shared" si="1"/>
        <v>13.835227272727273</v>
      </c>
      <c r="J39" s="1">
        <f t="shared" si="2"/>
        <v>-61.856772727272734</v>
      </c>
      <c r="K39" t="str">
        <f t="shared" si="3"/>
        <v>KO</v>
      </c>
      <c r="L39" s="1">
        <f t="shared" si="4"/>
        <v>79.83522727272728</v>
      </c>
      <c r="M39" s="1">
        <f t="shared" si="5"/>
        <v>50.16477272727272</v>
      </c>
      <c r="O39" s="160">
        <f t="shared" si="6"/>
        <v>110</v>
      </c>
      <c r="P39" s="51">
        <f t="shared" si="7"/>
        <v>0.2757956733491902</v>
      </c>
    </row>
    <row r="40" spans="1:16" x14ac:dyDescent="0.25">
      <c r="A40" s="315"/>
      <c r="B40" s="68">
        <v>30</v>
      </c>
      <c r="C40" s="68">
        <v>60110120</v>
      </c>
      <c r="D40" s="68">
        <v>130</v>
      </c>
      <c r="E40" s="91">
        <v>11.2</v>
      </c>
      <c r="F40" s="68">
        <v>67</v>
      </c>
      <c r="G40" s="68">
        <v>130</v>
      </c>
      <c r="H40" s="68">
        <f t="shared" si="0"/>
        <v>42.447115384615387</v>
      </c>
      <c r="I40" s="1">
        <f t="shared" si="1"/>
        <v>24.552884615384613</v>
      </c>
      <c r="J40" s="1">
        <f t="shared" si="2"/>
        <v>-51.139115384615394</v>
      </c>
      <c r="K40" t="str">
        <f t="shared" si="3"/>
        <v>KO</v>
      </c>
      <c r="L40" s="1">
        <f t="shared" si="4"/>
        <v>87.552884615384613</v>
      </c>
      <c r="M40" s="1">
        <f t="shared" si="5"/>
        <v>42.447115384615387</v>
      </c>
      <c r="O40" s="160">
        <f t="shared" si="6"/>
        <v>130</v>
      </c>
      <c r="P40" s="51">
        <f t="shared" si="7"/>
        <v>0.57843470381696671</v>
      </c>
    </row>
    <row r="41" spans="1:16" x14ac:dyDescent="0.25">
      <c r="A41" s="315"/>
      <c r="B41" s="68">
        <v>31</v>
      </c>
      <c r="C41" s="68">
        <v>60110154</v>
      </c>
      <c r="D41" s="68">
        <v>130</v>
      </c>
      <c r="E41" s="91">
        <v>10.75</v>
      </c>
      <c r="F41" s="68">
        <v>63</v>
      </c>
      <c r="G41" s="68">
        <v>130</v>
      </c>
      <c r="H41" s="68">
        <f t="shared" si="0"/>
        <v>42.447115384615387</v>
      </c>
      <c r="I41" s="1">
        <f t="shared" si="1"/>
        <v>20.552884615384613</v>
      </c>
      <c r="J41" s="1">
        <f t="shared" si="2"/>
        <v>-55.139115384615394</v>
      </c>
      <c r="K41" t="str">
        <f t="shared" si="3"/>
        <v>KO</v>
      </c>
      <c r="L41" s="1">
        <f t="shared" si="4"/>
        <v>87.552884615384613</v>
      </c>
      <c r="M41" s="1">
        <f t="shared" si="5"/>
        <v>42.447115384615387</v>
      </c>
      <c r="O41" s="160">
        <f t="shared" si="6"/>
        <v>130</v>
      </c>
      <c r="P41" s="51">
        <f t="shared" si="7"/>
        <v>0.48419979612640157</v>
      </c>
    </row>
    <row r="42" spans="1:16" x14ac:dyDescent="0.25">
      <c r="A42" s="315"/>
      <c r="B42" s="68">
        <v>32</v>
      </c>
      <c r="C42" s="68">
        <v>60110121</v>
      </c>
      <c r="D42" s="68">
        <v>130</v>
      </c>
      <c r="E42" s="91">
        <v>11.7</v>
      </c>
      <c r="F42" s="68">
        <v>64</v>
      </c>
      <c r="G42" s="68">
        <v>150</v>
      </c>
      <c r="H42" s="68">
        <f t="shared" si="0"/>
        <v>36.787500000000001</v>
      </c>
      <c r="I42" s="1">
        <f t="shared" si="1"/>
        <v>27.212499999999999</v>
      </c>
      <c r="J42" s="1">
        <f t="shared" si="2"/>
        <v>-48.479500000000009</v>
      </c>
      <c r="K42" t="str">
        <f t="shared" si="3"/>
        <v>KO</v>
      </c>
      <c r="L42" s="1">
        <f t="shared" si="4"/>
        <v>93.212500000000006</v>
      </c>
      <c r="M42" s="1">
        <f t="shared" si="5"/>
        <v>36.787499999999994</v>
      </c>
      <c r="O42" s="160">
        <f t="shared" si="6"/>
        <v>150</v>
      </c>
      <c r="P42" s="51">
        <f t="shared" si="7"/>
        <v>0.73972137274889571</v>
      </c>
    </row>
    <row r="43" spans="1:16" x14ac:dyDescent="0.25">
      <c r="A43" s="315"/>
      <c r="B43" s="68">
        <v>33</v>
      </c>
      <c r="C43" s="68">
        <v>60110155</v>
      </c>
      <c r="D43" s="68">
        <v>130</v>
      </c>
      <c r="E43" s="91">
        <v>11.25</v>
      </c>
      <c r="F43" s="68">
        <v>60</v>
      </c>
      <c r="G43" s="68">
        <v>150</v>
      </c>
      <c r="H43" s="68">
        <f t="shared" si="0"/>
        <v>36.787500000000001</v>
      </c>
      <c r="I43" s="1">
        <f t="shared" si="1"/>
        <v>23.212499999999999</v>
      </c>
      <c r="J43" s="1">
        <f t="shared" si="2"/>
        <v>-52.479500000000009</v>
      </c>
      <c r="K43" t="str">
        <f t="shared" si="3"/>
        <v>KO</v>
      </c>
      <c r="L43" s="1">
        <f t="shared" si="4"/>
        <v>93.212500000000006</v>
      </c>
      <c r="M43" s="1">
        <f t="shared" si="5"/>
        <v>36.787499999999994</v>
      </c>
      <c r="O43" s="160">
        <f t="shared" si="6"/>
        <v>150</v>
      </c>
      <c r="P43" s="51">
        <f t="shared" si="7"/>
        <v>0.63098878695208971</v>
      </c>
    </row>
    <row r="44" spans="1:16" x14ac:dyDescent="0.25">
      <c r="A44" s="315"/>
      <c r="B44" s="68">
        <v>34</v>
      </c>
      <c r="C44" s="68">
        <v>60110156</v>
      </c>
      <c r="D44" s="68">
        <v>130</v>
      </c>
      <c r="E44" s="91">
        <v>11.5</v>
      </c>
      <c r="F44" s="68">
        <v>61</v>
      </c>
      <c r="G44" s="68">
        <v>170</v>
      </c>
      <c r="H44" s="68">
        <f t="shared" si="0"/>
        <v>32.459558823529413</v>
      </c>
      <c r="I44" s="1">
        <f t="shared" si="1"/>
        <v>28.540441176470587</v>
      </c>
      <c r="J44" s="1">
        <f t="shared" si="2"/>
        <v>-47.15155882352942</v>
      </c>
      <c r="K44" t="str">
        <f t="shared" si="3"/>
        <v>KO</v>
      </c>
      <c r="L44" s="1">
        <f t="shared" si="4"/>
        <v>97.54044117647058</v>
      </c>
      <c r="M44" s="1">
        <f t="shared" si="5"/>
        <v>32.45955882352942</v>
      </c>
      <c r="O44" s="160">
        <f t="shared" si="6"/>
        <v>170</v>
      </c>
      <c r="P44" s="51">
        <f t="shared" si="7"/>
        <v>0.87926152452146333</v>
      </c>
    </row>
    <row r="45" spans="1:16" x14ac:dyDescent="0.25">
      <c r="A45" s="315"/>
      <c r="B45" s="68">
        <v>35</v>
      </c>
      <c r="C45" s="68">
        <v>60110157</v>
      </c>
      <c r="D45" s="68">
        <v>130</v>
      </c>
      <c r="E45" s="91">
        <v>12</v>
      </c>
      <c r="F45" s="68">
        <v>56</v>
      </c>
      <c r="G45" s="68">
        <v>190</v>
      </c>
      <c r="H45" s="68">
        <f t="shared" si="0"/>
        <v>29.042763157894736</v>
      </c>
      <c r="I45" s="1">
        <f t="shared" si="1"/>
        <v>26.957236842105264</v>
      </c>
      <c r="J45" s="1">
        <f t="shared" si="2"/>
        <v>-48.734763157894747</v>
      </c>
      <c r="K45" t="str">
        <f t="shared" si="3"/>
        <v>KO</v>
      </c>
      <c r="L45" s="1">
        <f t="shared" si="4"/>
        <v>100.95723684210526</v>
      </c>
      <c r="M45" s="1">
        <f t="shared" si="5"/>
        <v>29.04276315789474</v>
      </c>
      <c r="O45" s="160">
        <f t="shared" si="6"/>
        <v>190</v>
      </c>
      <c r="P45" s="51">
        <f t="shared" si="7"/>
        <v>0.9281911881300261</v>
      </c>
    </row>
    <row r="46" spans="1:16" x14ac:dyDescent="0.25">
      <c r="A46" s="315"/>
      <c r="B46" s="68">
        <v>36</v>
      </c>
      <c r="C46" s="68">
        <v>60110158</v>
      </c>
      <c r="D46" s="68">
        <v>130</v>
      </c>
      <c r="E46" s="91">
        <v>12.25</v>
      </c>
      <c r="F46" s="68">
        <v>56</v>
      </c>
      <c r="G46" s="68">
        <v>210</v>
      </c>
      <c r="H46" s="68">
        <f t="shared" si="0"/>
        <v>26.276785714285715</v>
      </c>
      <c r="I46" s="1">
        <f t="shared" si="1"/>
        <v>29.723214285714285</v>
      </c>
      <c r="J46" s="1">
        <f t="shared" si="2"/>
        <v>-45.968785714285723</v>
      </c>
      <c r="K46" t="str">
        <f t="shared" si="3"/>
        <v>KO</v>
      </c>
      <c r="L46" s="1">
        <f t="shared" si="4"/>
        <v>103.72321428571428</v>
      </c>
      <c r="M46" s="1">
        <f t="shared" si="5"/>
        <v>26.276785714285722</v>
      </c>
      <c r="O46" s="160">
        <f t="shared" si="6"/>
        <v>210</v>
      </c>
      <c r="P46" s="51">
        <f t="shared" si="7"/>
        <v>1.1311586816173973</v>
      </c>
    </row>
    <row r="47" spans="1:16" x14ac:dyDescent="0.25">
      <c r="A47" s="315"/>
      <c r="B47" s="68">
        <v>37</v>
      </c>
      <c r="C47" s="68">
        <v>60110159</v>
      </c>
      <c r="D47" s="68">
        <v>130</v>
      </c>
      <c r="E47" s="91">
        <v>12.5</v>
      </c>
      <c r="F47" s="68">
        <v>56</v>
      </c>
      <c r="G47" s="68">
        <v>230</v>
      </c>
      <c r="H47" s="68">
        <f t="shared" si="0"/>
        <v>23.991847826086957</v>
      </c>
      <c r="I47" s="1">
        <f t="shared" si="1"/>
        <v>32.008152173913047</v>
      </c>
      <c r="J47" s="1">
        <f t="shared" si="2"/>
        <v>-43.683847826086961</v>
      </c>
      <c r="K47" t="str">
        <f t="shared" si="3"/>
        <v>KO</v>
      </c>
      <c r="L47" s="1">
        <f t="shared" si="4"/>
        <v>106.00815217391305</v>
      </c>
      <c r="M47" s="1">
        <f t="shared" si="5"/>
        <v>23.991847826086953</v>
      </c>
      <c r="O47" s="160">
        <f t="shared" si="6"/>
        <v>230</v>
      </c>
      <c r="P47" s="51">
        <f t="shared" si="7"/>
        <v>1.3341261751047686</v>
      </c>
    </row>
    <row r="48" spans="1:16" x14ac:dyDescent="0.25">
      <c r="A48" s="315"/>
      <c r="B48" s="68">
        <v>38</v>
      </c>
      <c r="C48" s="68">
        <v>60110160</v>
      </c>
      <c r="D48" s="68">
        <v>130</v>
      </c>
      <c r="E48" s="91">
        <v>13</v>
      </c>
      <c r="F48" s="68">
        <v>50</v>
      </c>
      <c r="G48" s="68">
        <v>250</v>
      </c>
      <c r="H48" s="68">
        <f t="shared" si="0"/>
        <v>22.072500000000002</v>
      </c>
      <c r="I48" s="1">
        <f t="shared" si="1"/>
        <v>27.927499999999998</v>
      </c>
      <c r="J48" s="1">
        <f t="shared" si="2"/>
        <v>-47.764500000000012</v>
      </c>
      <c r="K48" t="str">
        <f t="shared" si="3"/>
        <v>KO</v>
      </c>
      <c r="L48" s="1">
        <f t="shared" si="4"/>
        <v>107.92749999999999</v>
      </c>
      <c r="M48" s="1">
        <f t="shared" si="5"/>
        <v>22.072500000000005</v>
      </c>
      <c r="O48" s="160">
        <f t="shared" si="6"/>
        <v>250</v>
      </c>
      <c r="P48" s="51">
        <f t="shared" si="7"/>
        <v>1.2652622041001247</v>
      </c>
    </row>
    <row r="49" spans="1:16" x14ac:dyDescent="0.25">
      <c r="A49" s="315"/>
      <c r="B49" s="68">
        <v>39</v>
      </c>
      <c r="C49" s="68">
        <v>60110161</v>
      </c>
      <c r="D49" s="68">
        <v>130</v>
      </c>
      <c r="E49" s="91">
        <v>13.25</v>
      </c>
      <c r="F49" s="68">
        <v>50</v>
      </c>
      <c r="G49" s="68">
        <v>270</v>
      </c>
      <c r="H49" s="68">
        <f t="shared" si="0"/>
        <v>20.4375</v>
      </c>
      <c r="I49" s="1">
        <f t="shared" si="1"/>
        <v>29.5625</v>
      </c>
      <c r="J49" s="1">
        <f t="shared" si="2"/>
        <v>-46.129500000000007</v>
      </c>
      <c r="K49" t="str">
        <f t="shared" si="3"/>
        <v>KO</v>
      </c>
      <c r="L49" s="1">
        <f t="shared" si="4"/>
        <v>109.5625</v>
      </c>
      <c r="M49" s="1">
        <f t="shared" si="5"/>
        <v>20.4375</v>
      </c>
      <c r="O49" s="160">
        <f t="shared" si="6"/>
        <v>270</v>
      </c>
      <c r="P49" s="51">
        <f t="shared" si="7"/>
        <v>1.4464831804281346</v>
      </c>
    </row>
    <row r="50" spans="1:16" x14ac:dyDescent="0.25">
      <c r="A50" s="315"/>
      <c r="B50" s="68">
        <v>40</v>
      </c>
      <c r="C50" s="68">
        <v>60110162</v>
      </c>
      <c r="D50" s="68">
        <v>130</v>
      </c>
      <c r="E50" s="91">
        <v>13.5</v>
      </c>
      <c r="F50" s="68">
        <v>49</v>
      </c>
      <c r="G50" s="68">
        <v>290</v>
      </c>
      <c r="H50" s="68">
        <f t="shared" si="0"/>
        <v>19.02801724137931</v>
      </c>
      <c r="I50" s="1">
        <f t="shared" si="1"/>
        <v>29.97198275862069</v>
      </c>
      <c r="J50" s="1">
        <f t="shared" si="2"/>
        <v>-45.720017241379317</v>
      </c>
      <c r="K50" t="str">
        <f t="shared" si="3"/>
        <v>KO</v>
      </c>
      <c r="L50" s="1">
        <f t="shared" si="4"/>
        <v>110.9719827586207</v>
      </c>
      <c r="M50" s="1">
        <f t="shared" si="5"/>
        <v>19.028017241379303</v>
      </c>
      <c r="O50" s="160">
        <f t="shared" si="6"/>
        <v>290</v>
      </c>
      <c r="P50" s="51">
        <f t="shared" si="7"/>
        <v>1.5751500736210216</v>
      </c>
    </row>
    <row r="51" spans="1:16" x14ac:dyDescent="0.25">
      <c r="A51" s="315"/>
      <c r="B51" s="68">
        <v>41</v>
      </c>
      <c r="C51" s="68">
        <v>60110163</v>
      </c>
      <c r="D51" s="68">
        <v>130</v>
      </c>
      <c r="E51" s="91">
        <v>13.75</v>
      </c>
      <c r="F51" s="68">
        <v>47</v>
      </c>
      <c r="G51" s="68">
        <v>310</v>
      </c>
      <c r="H51" s="68">
        <f t="shared" si="0"/>
        <v>17.800403225806452</v>
      </c>
      <c r="I51" s="1">
        <f t="shared" si="1"/>
        <v>29.199596774193548</v>
      </c>
      <c r="J51" s="1">
        <f t="shared" si="2"/>
        <v>-46.492403225806456</v>
      </c>
      <c r="K51" t="str">
        <f t="shared" si="3"/>
        <v>KO</v>
      </c>
      <c r="L51" s="1">
        <f t="shared" si="4"/>
        <v>112.19959677419355</v>
      </c>
      <c r="M51" s="1">
        <f t="shared" si="5"/>
        <v>17.800403225806448</v>
      </c>
      <c r="O51" s="160">
        <f t="shared" si="6"/>
        <v>310</v>
      </c>
      <c r="P51" s="51">
        <f t="shared" si="7"/>
        <v>1.6403896250991052</v>
      </c>
    </row>
    <row r="52" spans="1:16" x14ac:dyDescent="0.25">
      <c r="A52" s="315"/>
      <c r="B52" s="68">
        <v>42</v>
      </c>
      <c r="C52" s="68">
        <v>60110164</v>
      </c>
      <c r="D52" s="68">
        <v>130</v>
      </c>
      <c r="E52" s="91">
        <v>14</v>
      </c>
      <c r="F52" s="68">
        <v>46</v>
      </c>
      <c r="G52" s="68">
        <v>330</v>
      </c>
      <c r="H52" s="68">
        <f t="shared" si="0"/>
        <v>16.72159090909091</v>
      </c>
      <c r="I52" s="1">
        <f t="shared" si="1"/>
        <v>29.27840909090909</v>
      </c>
      <c r="J52" s="1">
        <f t="shared" si="2"/>
        <v>-46.413590909090914</v>
      </c>
      <c r="K52" t="str">
        <f t="shared" si="3"/>
        <v>KO</v>
      </c>
      <c r="L52" s="1">
        <f t="shared" si="4"/>
        <v>113.27840909090909</v>
      </c>
      <c r="M52" s="1">
        <f t="shared" si="5"/>
        <v>16.721590909090907</v>
      </c>
      <c r="O52" s="160">
        <f t="shared" si="6"/>
        <v>330</v>
      </c>
      <c r="P52" s="51">
        <f t="shared" si="7"/>
        <v>1.7509344206591912</v>
      </c>
    </row>
    <row r="53" spans="1:16" x14ac:dyDescent="0.25">
      <c r="A53" s="315"/>
      <c r="B53" s="68">
        <v>43</v>
      </c>
      <c r="C53" s="68">
        <v>60110165</v>
      </c>
      <c r="D53" s="68">
        <v>130</v>
      </c>
      <c r="E53" s="91">
        <v>14</v>
      </c>
      <c r="F53" s="68">
        <v>49</v>
      </c>
      <c r="G53" s="68">
        <v>350</v>
      </c>
      <c r="H53" s="68">
        <f t="shared" si="0"/>
        <v>15.766071428571429</v>
      </c>
      <c r="I53" s="1">
        <f t="shared" si="1"/>
        <v>33.233928571428571</v>
      </c>
      <c r="J53" s="1">
        <f t="shared" si="2"/>
        <v>-42.458071428571436</v>
      </c>
      <c r="K53" t="str">
        <f t="shared" si="3"/>
        <v>KO</v>
      </c>
      <c r="L53" s="1">
        <f t="shared" si="4"/>
        <v>114.23392857142858</v>
      </c>
      <c r="M53" s="1">
        <f t="shared" si="5"/>
        <v>15.766071428571422</v>
      </c>
      <c r="O53" s="160">
        <f t="shared" si="6"/>
        <v>350</v>
      </c>
      <c r="P53" s="51">
        <f t="shared" si="7"/>
        <v>2.1079397440253711</v>
      </c>
    </row>
    <row r="54" spans="1:16" x14ac:dyDescent="0.25">
      <c r="A54" s="316" t="s">
        <v>34</v>
      </c>
      <c r="B54" s="68">
        <v>44</v>
      </c>
      <c r="C54" s="68">
        <v>60110053</v>
      </c>
      <c r="D54" s="68">
        <v>250</v>
      </c>
      <c r="E54" s="91">
        <v>8.75</v>
      </c>
      <c r="F54" s="68">
        <v>165</v>
      </c>
      <c r="G54" s="68">
        <v>25</v>
      </c>
      <c r="H54" s="68">
        <f t="shared" si="0"/>
        <v>220.72499999999999</v>
      </c>
      <c r="I54" s="1">
        <f t="shared" si="1"/>
        <v>-55.724999999999994</v>
      </c>
      <c r="J54" s="1">
        <f t="shared" si="2"/>
        <v>-131.417</v>
      </c>
      <c r="K54" t="str">
        <f t="shared" si="3"/>
        <v>KO</v>
      </c>
      <c r="L54" s="1">
        <f t="shared" si="4"/>
        <v>29.275000000000006</v>
      </c>
      <c r="M54" s="1">
        <f t="shared" si="5"/>
        <v>220.72499999999999</v>
      </c>
      <c r="O54" s="160">
        <f t="shared" si="6"/>
        <v>25</v>
      </c>
      <c r="P54" s="51">
        <f t="shared" si="7"/>
        <v>-0.25246347264695884</v>
      </c>
    </row>
    <row r="55" spans="1:16" x14ac:dyDescent="0.25">
      <c r="A55" s="316"/>
      <c r="B55" s="68">
        <v>45</v>
      </c>
      <c r="C55" s="68">
        <v>60110105</v>
      </c>
      <c r="D55" s="68">
        <v>170</v>
      </c>
      <c r="E55" s="91">
        <v>8.25</v>
      </c>
      <c r="F55" s="68">
        <v>110</v>
      </c>
      <c r="G55" s="68">
        <v>30</v>
      </c>
      <c r="H55" s="68">
        <f t="shared" si="0"/>
        <v>183.9375</v>
      </c>
      <c r="I55" s="1">
        <f t="shared" si="1"/>
        <v>-73.9375</v>
      </c>
      <c r="J55" s="1">
        <f t="shared" si="2"/>
        <v>-149.62950000000001</v>
      </c>
      <c r="K55" t="str">
        <f t="shared" si="3"/>
        <v>KO</v>
      </c>
      <c r="L55" s="1">
        <f t="shared" si="4"/>
        <v>-13.9375</v>
      </c>
      <c r="M55" s="1">
        <f t="shared" si="5"/>
        <v>183.9375</v>
      </c>
      <c r="O55" s="160">
        <f t="shared" si="6"/>
        <v>30</v>
      </c>
      <c r="P55" s="51">
        <f t="shared" si="7"/>
        <v>-0.4019707781175671</v>
      </c>
    </row>
    <row r="56" spans="1:16" x14ac:dyDescent="0.25">
      <c r="A56" s="316"/>
      <c r="B56" s="68">
        <v>46</v>
      </c>
      <c r="C56" s="68">
        <v>60110009</v>
      </c>
      <c r="D56" s="68">
        <v>200</v>
      </c>
      <c r="E56" s="91">
        <v>9.25</v>
      </c>
      <c r="F56" s="68">
        <v>113</v>
      </c>
      <c r="G56" s="68">
        <v>30</v>
      </c>
      <c r="H56" s="68">
        <f t="shared" si="0"/>
        <v>183.9375</v>
      </c>
      <c r="I56" s="1">
        <f t="shared" si="1"/>
        <v>-70.9375</v>
      </c>
      <c r="J56" s="1">
        <f t="shared" si="2"/>
        <v>-146.62950000000001</v>
      </c>
      <c r="K56" t="str">
        <f t="shared" si="3"/>
        <v>KO</v>
      </c>
      <c r="L56" s="1">
        <f t="shared" si="4"/>
        <v>16.0625</v>
      </c>
      <c r="M56" s="1">
        <f t="shared" si="5"/>
        <v>183.9375</v>
      </c>
      <c r="O56" s="160">
        <f t="shared" si="6"/>
        <v>30</v>
      </c>
      <c r="P56" s="51">
        <f t="shared" si="7"/>
        <v>-0.38566089024804623</v>
      </c>
    </row>
    <row r="57" spans="1:16" x14ac:dyDescent="0.25">
      <c r="A57" s="316"/>
      <c r="B57" s="68">
        <v>47</v>
      </c>
      <c r="C57" s="68">
        <v>60110051</v>
      </c>
      <c r="D57" s="68">
        <v>200</v>
      </c>
      <c r="E57" s="91">
        <v>8.75</v>
      </c>
      <c r="F57" s="68">
        <v>128</v>
      </c>
      <c r="G57" s="68">
        <v>30</v>
      </c>
      <c r="H57" s="68">
        <f t="shared" si="0"/>
        <v>183.9375</v>
      </c>
      <c r="I57" s="1">
        <f t="shared" si="1"/>
        <v>-55.9375</v>
      </c>
      <c r="J57" s="1">
        <f t="shared" si="2"/>
        <v>-131.62950000000001</v>
      </c>
      <c r="K57" t="str">
        <f t="shared" si="3"/>
        <v>KO</v>
      </c>
      <c r="L57" s="1">
        <f t="shared" si="4"/>
        <v>16.0625</v>
      </c>
      <c r="M57" s="1">
        <f t="shared" si="5"/>
        <v>183.9375</v>
      </c>
      <c r="O57" s="160">
        <f t="shared" si="6"/>
        <v>30</v>
      </c>
      <c r="P57" s="51">
        <f t="shared" si="7"/>
        <v>-0.30411145090044173</v>
      </c>
    </row>
    <row r="58" spans="1:16" x14ac:dyDescent="0.25">
      <c r="A58" s="316"/>
      <c r="B58" s="68">
        <v>48</v>
      </c>
      <c r="C58" s="68">
        <v>60110010</v>
      </c>
      <c r="D58" s="68">
        <v>250</v>
      </c>
      <c r="E58" s="91">
        <v>9.25</v>
      </c>
      <c r="F58" s="68">
        <v>160</v>
      </c>
      <c r="G58" s="68">
        <v>30</v>
      </c>
      <c r="H58" s="68">
        <f t="shared" si="0"/>
        <v>183.9375</v>
      </c>
      <c r="I58" s="1">
        <f t="shared" si="1"/>
        <v>-23.9375</v>
      </c>
      <c r="J58" s="1">
        <f t="shared" si="2"/>
        <v>-99.629500000000007</v>
      </c>
      <c r="K58" t="str">
        <f t="shared" si="3"/>
        <v>KO</v>
      </c>
      <c r="L58" s="1">
        <f t="shared" si="4"/>
        <v>66.0625</v>
      </c>
      <c r="M58" s="1">
        <f t="shared" si="5"/>
        <v>183.9375</v>
      </c>
      <c r="O58" s="160">
        <f t="shared" si="6"/>
        <v>30</v>
      </c>
      <c r="P58" s="51">
        <f t="shared" si="7"/>
        <v>-0.13013931362555214</v>
      </c>
    </row>
    <row r="59" spans="1:16" x14ac:dyDescent="0.25">
      <c r="A59" s="316"/>
      <c r="B59" s="68">
        <v>49</v>
      </c>
      <c r="C59" s="68">
        <v>60110055</v>
      </c>
      <c r="D59" s="68">
        <v>250</v>
      </c>
      <c r="E59" s="91">
        <v>9.75</v>
      </c>
      <c r="F59" s="68">
        <v>153</v>
      </c>
      <c r="G59" s="68">
        <v>35</v>
      </c>
      <c r="H59" s="68">
        <f t="shared" si="0"/>
        <v>157.66071428571428</v>
      </c>
      <c r="I59" s="1">
        <f t="shared" si="1"/>
        <v>-4.6607142857142776</v>
      </c>
      <c r="J59" s="1">
        <f t="shared" si="2"/>
        <v>-80.352714285714285</v>
      </c>
      <c r="K59" t="str">
        <f t="shared" si="3"/>
        <v>KO</v>
      </c>
      <c r="L59" s="1">
        <f t="shared" si="4"/>
        <v>92.339285714285722</v>
      </c>
      <c r="M59" s="1">
        <f t="shared" si="5"/>
        <v>157.66071428571428</v>
      </c>
      <c r="O59" s="160">
        <f t="shared" si="6"/>
        <v>35</v>
      </c>
      <c r="P59" s="51">
        <f t="shared" si="7"/>
        <v>-2.9561671763506575E-2</v>
      </c>
    </row>
    <row r="60" spans="1:16" x14ac:dyDescent="0.25">
      <c r="A60" s="316"/>
      <c r="B60" s="68">
        <v>50</v>
      </c>
      <c r="C60" s="68">
        <v>60110102</v>
      </c>
      <c r="D60" s="68">
        <v>120</v>
      </c>
      <c r="E60" s="91">
        <v>8</v>
      </c>
      <c r="F60" s="68">
        <v>80</v>
      </c>
      <c r="G60" s="68">
        <v>40</v>
      </c>
      <c r="H60" s="68">
        <f t="shared" si="0"/>
        <v>137.953125</v>
      </c>
      <c r="I60" s="1">
        <f t="shared" si="1"/>
        <v>-57.953125</v>
      </c>
      <c r="J60" s="1">
        <f t="shared" si="2"/>
        <v>-133.64512500000001</v>
      </c>
      <c r="K60" t="str">
        <f t="shared" si="3"/>
        <v>KO</v>
      </c>
      <c r="L60" s="1">
        <f t="shared" si="4"/>
        <v>-17.953125</v>
      </c>
      <c r="M60" s="1">
        <f t="shared" si="5"/>
        <v>137.953125</v>
      </c>
      <c r="O60" s="160">
        <f t="shared" si="6"/>
        <v>40</v>
      </c>
      <c r="P60" s="51">
        <f t="shared" si="7"/>
        <v>-0.42009287575036808</v>
      </c>
    </row>
    <row r="61" spans="1:16" x14ac:dyDescent="0.25">
      <c r="A61" s="316"/>
      <c r="B61" s="68">
        <v>51</v>
      </c>
      <c r="C61" s="68">
        <v>60110104</v>
      </c>
      <c r="D61" s="68">
        <v>140</v>
      </c>
      <c r="E61" s="91">
        <v>8.5</v>
      </c>
      <c r="F61" s="68">
        <v>90</v>
      </c>
      <c r="G61" s="68">
        <v>40</v>
      </c>
      <c r="H61" s="68">
        <f t="shared" si="0"/>
        <v>137.953125</v>
      </c>
      <c r="I61" s="1">
        <f t="shared" si="1"/>
        <v>-47.953125</v>
      </c>
      <c r="J61" s="1">
        <f t="shared" si="2"/>
        <v>-123.64512500000001</v>
      </c>
      <c r="K61" t="str">
        <f t="shared" si="3"/>
        <v>KO</v>
      </c>
      <c r="L61" s="1">
        <f t="shared" si="4"/>
        <v>2.046875</v>
      </c>
      <c r="M61" s="1">
        <f t="shared" si="5"/>
        <v>137.953125</v>
      </c>
      <c r="O61" s="160">
        <f t="shared" si="6"/>
        <v>40</v>
      </c>
      <c r="P61" s="51">
        <f t="shared" si="7"/>
        <v>-0.34760448521916409</v>
      </c>
    </row>
    <row r="62" spans="1:16" x14ac:dyDescent="0.25">
      <c r="A62" s="316"/>
      <c r="B62" s="68">
        <v>52</v>
      </c>
      <c r="C62" s="68">
        <v>60110106</v>
      </c>
      <c r="D62" s="68">
        <v>170</v>
      </c>
      <c r="E62" s="91">
        <v>9</v>
      </c>
      <c r="F62" s="68">
        <v>108</v>
      </c>
      <c r="G62" s="68">
        <v>40</v>
      </c>
      <c r="H62" s="68">
        <f t="shared" si="0"/>
        <v>137.953125</v>
      </c>
      <c r="I62" s="1">
        <f t="shared" si="1"/>
        <v>-29.953125</v>
      </c>
      <c r="J62" s="1">
        <f t="shared" si="2"/>
        <v>-105.64512500000001</v>
      </c>
      <c r="K62" t="str">
        <f t="shared" si="3"/>
        <v>KO</v>
      </c>
      <c r="L62" s="1">
        <f t="shared" si="4"/>
        <v>32.046875</v>
      </c>
      <c r="M62" s="1">
        <f t="shared" si="5"/>
        <v>137.953125</v>
      </c>
      <c r="O62" s="160">
        <f t="shared" si="6"/>
        <v>40</v>
      </c>
      <c r="P62" s="51">
        <f t="shared" si="7"/>
        <v>-0.21712538226299694</v>
      </c>
    </row>
    <row r="63" spans="1:16" x14ac:dyDescent="0.25">
      <c r="A63" s="316"/>
      <c r="B63" s="68">
        <v>53</v>
      </c>
      <c r="C63" s="68">
        <v>60110013</v>
      </c>
      <c r="D63" s="68">
        <v>200</v>
      </c>
      <c r="E63" s="91">
        <v>9.5</v>
      </c>
      <c r="F63" s="68">
        <v>121</v>
      </c>
      <c r="G63" s="68">
        <v>40</v>
      </c>
      <c r="H63" s="68">
        <f t="shared" si="0"/>
        <v>137.953125</v>
      </c>
      <c r="I63" s="1">
        <f t="shared" si="1"/>
        <v>-16.953125</v>
      </c>
      <c r="J63" s="1">
        <f t="shared" si="2"/>
        <v>-92.645125000000007</v>
      </c>
      <c r="K63" t="str">
        <f t="shared" si="3"/>
        <v>KO</v>
      </c>
      <c r="L63" s="1">
        <f t="shared" si="4"/>
        <v>62.046875</v>
      </c>
      <c r="M63" s="1">
        <f t="shared" si="5"/>
        <v>137.953125</v>
      </c>
      <c r="O63" s="160">
        <f t="shared" si="6"/>
        <v>40</v>
      </c>
      <c r="P63" s="51">
        <f t="shared" si="7"/>
        <v>-0.12289047457243175</v>
      </c>
    </row>
    <row r="64" spans="1:16" x14ac:dyDescent="0.25">
      <c r="A64" s="316"/>
      <c r="B64" s="68">
        <v>54</v>
      </c>
      <c r="C64" s="68">
        <v>60110056</v>
      </c>
      <c r="D64" s="68">
        <v>250</v>
      </c>
      <c r="E64" s="91">
        <v>10</v>
      </c>
      <c r="F64" s="68">
        <v>154</v>
      </c>
      <c r="G64" s="68">
        <v>40</v>
      </c>
      <c r="H64" s="68">
        <f t="shared" si="0"/>
        <v>137.953125</v>
      </c>
      <c r="I64" s="1">
        <f t="shared" si="1"/>
        <v>16.046875</v>
      </c>
      <c r="J64" s="1">
        <f t="shared" si="2"/>
        <v>-59.645125000000007</v>
      </c>
      <c r="K64" t="str">
        <f t="shared" si="3"/>
        <v>KO</v>
      </c>
      <c r="L64" s="1">
        <f t="shared" si="4"/>
        <v>112.046875</v>
      </c>
      <c r="M64" s="1">
        <f t="shared" si="5"/>
        <v>137.953125</v>
      </c>
      <c r="O64" s="160">
        <f t="shared" si="6"/>
        <v>40</v>
      </c>
      <c r="P64" s="51">
        <f t="shared" si="7"/>
        <v>0.11632121418054139</v>
      </c>
    </row>
    <row r="65" spans="1:16" x14ac:dyDescent="0.25">
      <c r="A65" s="316"/>
      <c r="B65" s="68">
        <v>55</v>
      </c>
      <c r="C65" s="68">
        <v>60110094</v>
      </c>
      <c r="D65" s="68">
        <v>290</v>
      </c>
      <c r="E65" s="91">
        <v>10.5</v>
      </c>
      <c r="F65" s="68">
        <v>177</v>
      </c>
      <c r="G65" s="68">
        <v>40</v>
      </c>
      <c r="H65" s="68">
        <f t="shared" si="0"/>
        <v>137.953125</v>
      </c>
      <c r="I65" s="1">
        <f t="shared" si="1"/>
        <v>39.046875</v>
      </c>
      <c r="J65" s="1">
        <f t="shared" si="2"/>
        <v>-36.645125000000007</v>
      </c>
      <c r="K65" t="str">
        <f t="shared" si="3"/>
        <v>KO</v>
      </c>
      <c r="L65" s="1">
        <f t="shared" si="4"/>
        <v>152.046875</v>
      </c>
      <c r="M65" s="1">
        <f t="shared" si="5"/>
        <v>137.953125</v>
      </c>
      <c r="O65" s="160">
        <f t="shared" si="6"/>
        <v>40</v>
      </c>
      <c r="P65" s="51">
        <f t="shared" si="7"/>
        <v>0.28304451240231054</v>
      </c>
    </row>
    <row r="66" spans="1:16" x14ac:dyDescent="0.25">
      <c r="A66" s="316"/>
      <c r="B66" s="68">
        <v>56</v>
      </c>
      <c r="C66" s="68">
        <v>60110072</v>
      </c>
      <c r="D66" s="68">
        <v>250</v>
      </c>
      <c r="E66" s="91">
        <v>10.5</v>
      </c>
      <c r="F66" s="68">
        <v>145</v>
      </c>
      <c r="G66" s="68">
        <v>45</v>
      </c>
      <c r="H66" s="68">
        <f t="shared" si="0"/>
        <v>122.625</v>
      </c>
      <c r="I66" s="1">
        <f t="shared" si="1"/>
        <v>22.375</v>
      </c>
      <c r="J66" s="1">
        <f t="shared" si="2"/>
        <v>-53.317000000000007</v>
      </c>
      <c r="K66" t="str">
        <f t="shared" si="3"/>
        <v>KO</v>
      </c>
      <c r="L66" s="1">
        <f t="shared" si="4"/>
        <v>127.375</v>
      </c>
      <c r="M66" s="1">
        <f t="shared" si="5"/>
        <v>122.625</v>
      </c>
      <c r="O66" s="160">
        <f t="shared" si="6"/>
        <v>45</v>
      </c>
      <c r="P66" s="51">
        <f t="shared" si="7"/>
        <v>0.18246687054026503</v>
      </c>
    </row>
    <row r="67" spans="1:16" x14ac:dyDescent="0.25">
      <c r="A67" s="316"/>
      <c r="B67" s="68">
        <v>57</v>
      </c>
      <c r="C67" s="68">
        <v>60110062</v>
      </c>
      <c r="D67" s="68">
        <v>140</v>
      </c>
      <c r="E67" s="91">
        <v>9</v>
      </c>
      <c r="F67" s="68">
        <v>90</v>
      </c>
      <c r="G67" s="68">
        <v>50</v>
      </c>
      <c r="H67" s="68">
        <f t="shared" si="0"/>
        <v>110.3625</v>
      </c>
      <c r="I67" s="1">
        <f t="shared" si="1"/>
        <v>-20.362499999999997</v>
      </c>
      <c r="J67" s="1">
        <f t="shared" si="2"/>
        <v>-96.054500000000004</v>
      </c>
      <c r="K67" t="str">
        <f t="shared" si="3"/>
        <v>KO</v>
      </c>
      <c r="L67" s="1">
        <f t="shared" si="4"/>
        <v>29.637500000000003</v>
      </c>
      <c r="M67" s="1">
        <f t="shared" si="5"/>
        <v>110.3625</v>
      </c>
      <c r="O67" s="160">
        <f t="shared" si="6"/>
        <v>50</v>
      </c>
      <c r="P67" s="51">
        <f t="shared" si="7"/>
        <v>-0.18450560652395512</v>
      </c>
    </row>
    <row r="68" spans="1:16" x14ac:dyDescent="0.25">
      <c r="A68" s="316"/>
      <c r="B68" s="68">
        <v>58</v>
      </c>
      <c r="C68" s="68">
        <v>60110046</v>
      </c>
      <c r="D68" s="68">
        <v>170</v>
      </c>
      <c r="E68" s="91">
        <v>9.5</v>
      </c>
      <c r="F68" s="68">
        <v>104</v>
      </c>
      <c r="G68" s="68">
        <v>50</v>
      </c>
      <c r="H68" s="68">
        <f t="shared" si="0"/>
        <v>110.3625</v>
      </c>
      <c r="I68" s="1">
        <f t="shared" si="1"/>
        <v>-6.3624999999999972</v>
      </c>
      <c r="J68" s="1">
        <f t="shared" si="2"/>
        <v>-82.054500000000004</v>
      </c>
      <c r="K68" t="str">
        <f t="shared" si="3"/>
        <v>KO</v>
      </c>
      <c r="L68" s="1">
        <f t="shared" si="4"/>
        <v>59.637500000000003</v>
      </c>
      <c r="M68" s="1">
        <f t="shared" si="5"/>
        <v>110.3625</v>
      </c>
      <c r="O68" s="160">
        <f t="shared" si="6"/>
        <v>50</v>
      </c>
      <c r="P68" s="51">
        <f t="shared" si="7"/>
        <v>-5.7650923094348147E-2</v>
      </c>
    </row>
    <row r="69" spans="1:16" ht="15.75" thickBot="1" x14ac:dyDescent="0.3">
      <c r="A69" s="316"/>
      <c r="B69" s="68">
        <v>59</v>
      </c>
      <c r="C69" s="68">
        <v>60110069</v>
      </c>
      <c r="D69" s="68">
        <v>200</v>
      </c>
      <c r="E69" s="91">
        <v>10</v>
      </c>
      <c r="F69" s="68">
        <v>124</v>
      </c>
      <c r="G69" s="68">
        <v>50</v>
      </c>
      <c r="H69" s="68">
        <f t="shared" si="0"/>
        <v>110.3625</v>
      </c>
      <c r="I69" s="1">
        <f t="shared" si="1"/>
        <v>13.637500000000003</v>
      </c>
      <c r="J69" s="1">
        <f t="shared" si="2"/>
        <v>-62.054500000000004</v>
      </c>
      <c r="K69" t="str">
        <f t="shared" si="3"/>
        <v>KO</v>
      </c>
      <c r="L69" s="1">
        <f t="shared" si="4"/>
        <v>89.637500000000003</v>
      </c>
      <c r="M69" s="1">
        <f t="shared" si="5"/>
        <v>110.3625</v>
      </c>
      <c r="O69" s="160">
        <f t="shared" si="6"/>
        <v>50</v>
      </c>
      <c r="P69" s="51">
        <f t="shared" si="7"/>
        <v>0.12357005323366181</v>
      </c>
    </row>
    <row r="70" spans="1:16" ht="15.75" thickBot="1" x14ac:dyDescent="0.3">
      <c r="A70" s="316"/>
      <c r="B70" s="90">
        <v>60</v>
      </c>
      <c r="C70" s="69">
        <v>60110073</v>
      </c>
      <c r="D70" s="69">
        <v>250</v>
      </c>
      <c r="E70" s="92">
        <v>10.75</v>
      </c>
      <c r="F70" s="69">
        <v>144</v>
      </c>
      <c r="G70" s="69">
        <v>50</v>
      </c>
      <c r="H70" s="69">
        <f t="shared" si="0"/>
        <v>110.3625</v>
      </c>
      <c r="I70" s="15">
        <f t="shared" si="1"/>
        <v>33.637500000000003</v>
      </c>
      <c r="J70" s="15">
        <f t="shared" si="2"/>
        <v>-42.054500000000004</v>
      </c>
      <c r="K70" s="14" t="str">
        <f t="shared" si="3"/>
        <v>KO</v>
      </c>
      <c r="L70" s="15">
        <f t="shared" si="4"/>
        <v>139.63749999999999</v>
      </c>
      <c r="M70" s="216">
        <f t="shared" si="5"/>
        <v>110.36250000000001</v>
      </c>
      <c r="O70" s="160">
        <f t="shared" si="6"/>
        <v>50</v>
      </c>
      <c r="P70" s="51">
        <f t="shared" si="7"/>
        <v>0.30479102956167181</v>
      </c>
    </row>
    <row r="71" spans="1:16" x14ac:dyDescent="0.25">
      <c r="A71" s="316"/>
      <c r="B71" s="68">
        <v>61</v>
      </c>
      <c r="C71" s="68">
        <v>60110095</v>
      </c>
      <c r="D71" s="68">
        <v>290</v>
      </c>
      <c r="E71" s="91">
        <v>11.25</v>
      </c>
      <c r="F71" s="68">
        <v>170</v>
      </c>
      <c r="G71" s="68">
        <v>50</v>
      </c>
      <c r="H71" s="68">
        <f t="shared" si="0"/>
        <v>110.3625</v>
      </c>
      <c r="I71" s="1">
        <f t="shared" si="1"/>
        <v>59.637500000000003</v>
      </c>
      <c r="J71" s="1">
        <f t="shared" si="2"/>
        <v>-16.054500000000004</v>
      </c>
      <c r="K71" t="str">
        <f t="shared" si="3"/>
        <v>KO</v>
      </c>
      <c r="L71" s="1">
        <f t="shared" si="4"/>
        <v>179.63749999999999</v>
      </c>
      <c r="M71" s="1">
        <f t="shared" si="5"/>
        <v>110.36250000000001</v>
      </c>
      <c r="O71" s="160">
        <f t="shared" si="6"/>
        <v>50</v>
      </c>
      <c r="P71" s="51">
        <f t="shared" si="7"/>
        <v>0.54037829878808474</v>
      </c>
    </row>
    <row r="72" spans="1:16" x14ac:dyDescent="0.25">
      <c r="A72" s="316"/>
      <c r="B72" s="68">
        <v>62</v>
      </c>
      <c r="C72" s="68">
        <v>60110057</v>
      </c>
      <c r="D72" s="68">
        <v>300</v>
      </c>
      <c r="E72" s="91">
        <v>12</v>
      </c>
      <c r="F72" s="68">
        <v>135</v>
      </c>
      <c r="G72" s="68">
        <v>50</v>
      </c>
      <c r="H72" s="68">
        <f t="shared" si="0"/>
        <v>110.3625</v>
      </c>
      <c r="I72" s="1">
        <f t="shared" si="1"/>
        <v>24.637500000000003</v>
      </c>
      <c r="J72" s="1">
        <f t="shared" si="2"/>
        <v>-51.054500000000004</v>
      </c>
      <c r="K72" t="str">
        <f t="shared" si="3"/>
        <v>KO</v>
      </c>
      <c r="L72" s="1">
        <f t="shared" si="4"/>
        <v>189.63749999999999</v>
      </c>
      <c r="M72" s="1">
        <f t="shared" si="5"/>
        <v>110.36250000000001</v>
      </c>
      <c r="O72" s="160">
        <f t="shared" si="6"/>
        <v>50</v>
      </c>
      <c r="P72" s="51">
        <f t="shared" si="7"/>
        <v>0.22324159021406731</v>
      </c>
    </row>
    <row r="73" spans="1:16" x14ac:dyDescent="0.25">
      <c r="A73" s="316"/>
      <c r="B73" s="68">
        <v>63</v>
      </c>
      <c r="C73" s="68">
        <v>60110097</v>
      </c>
      <c r="D73" s="68">
        <v>320</v>
      </c>
      <c r="E73" s="91">
        <v>12.25</v>
      </c>
      <c r="F73" s="68">
        <v>183</v>
      </c>
      <c r="G73" s="68">
        <v>50</v>
      </c>
      <c r="H73" s="68">
        <f t="shared" si="0"/>
        <v>110.3625</v>
      </c>
      <c r="I73" s="1">
        <f t="shared" si="1"/>
        <v>72.637500000000003</v>
      </c>
      <c r="J73" s="1">
        <f t="shared" si="2"/>
        <v>-3.0545000000000044</v>
      </c>
      <c r="K73" t="str">
        <f t="shared" si="3"/>
        <v>KO</v>
      </c>
      <c r="L73" s="1">
        <f t="shared" si="4"/>
        <v>209.63749999999999</v>
      </c>
      <c r="M73" s="1">
        <f t="shared" si="5"/>
        <v>110.36250000000001</v>
      </c>
      <c r="O73" s="160">
        <f t="shared" si="6"/>
        <v>50</v>
      </c>
      <c r="P73" s="51">
        <f t="shared" si="7"/>
        <v>0.65817193340129121</v>
      </c>
    </row>
    <row r="74" spans="1:16" x14ac:dyDescent="0.25">
      <c r="A74" s="316"/>
      <c r="B74" s="68">
        <v>64</v>
      </c>
      <c r="C74" s="68">
        <v>60110103</v>
      </c>
      <c r="D74" s="68">
        <v>120</v>
      </c>
      <c r="E74" s="91">
        <v>9</v>
      </c>
      <c r="F74" s="68">
        <v>75</v>
      </c>
      <c r="G74" s="68">
        <v>60</v>
      </c>
      <c r="H74" s="68">
        <f t="shared" si="0"/>
        <v>91.96875</v>
      </c>
      <c r="I74" s="1">
        <f t="shared" si="1"/>
        <v>-16.96875</v>
      </c>
      <c r="J74" s="1">
        <f t="shared" si="2"/>
        <v>-92.660750000000007</v>
      </c>
      <c r="K74" t="str">
        <f t="shared" si="3"/>
        <v>KO</v>
      </c>
      <c r="L74" s="1">
        <f t="shared" si="4"/>
        <v>28.03125</v>
      </c>
      <c r="M74" s="1">
        <f t="shared" si="5"/>
        <v>91.96875</v>
      </c>
      <c r="O74" s="160">
        <f t="shared" si="6"/>
        <v>60</v>
      </c>
      <c r="P74" s="51">
        <f t="shared" si="7"/>
        <v>-0.18450560652395515</v>
      </c>
    </row>
    <row r="75" spans="1:16" x14ac:dyDescent="0.25">
      <c r="A75" s="316"/>
      <c r="B75" s="68">
        <v>65</v>
      </c>
      <c r="C75" s="68">
        <v>60110063</v>
      </c>
      <c r="D75" s="68">
        <v>140</v>
      </c>
      <c r="E75" s="91">
        <v>9.5</v>
      </c>
      <c r="F75" s="68">
        <v>83</v>
      </c>
      <c r="G75" s="68">
        <v>60</v>
      </c>
      <c r="H75" s="68">
        <f t="shared" ref="H75:H138" si="8">$B$2/2*9.81*$B$3/G75</f>
        <v>91.96875</v>
      </c>
      <c r="I75" s="1">
        <f t="shared" si="1"/>
        <v>-8.96875</v>
      </c>
      <c r="J75" s="1">
        <f t="shared" si="2"/>
        <v>-84.660750000000007</v>
      </c>
      <c r="K75" t="str">
        <f t="shared" si="3"/>
        <v>KO</v>
      </c>
      <c r="L75" s="1">
        <f t="shared" si="4"/>
        <v>48.03125</v>
      </c>
      <c r="M75" s="1">
        <f t="shared" si="5"/>
        <v>91.96875</v>
      </c>
      <c r="O75" s="160">
        <f t="shared" si="6"/>
        <v>60</v>
      </c>
      <c r="P75" s="51">
        <f t="shared" si="7"/>
        <v>-9.7519537886510368E-2</v>
      </c>
    </row>
    <row r="76" spans="1:16" x14ac:dyDescent="0.25">
      <c r="A76" s="316"/>
      <c r="B76" s="68">
        <v>66</v>
      </c>
      <c r="C76" s="68">
        <v>60110068</v>
      </c>
      <c r="D76" s="68">
        <v>160</v>
      </c>
      <c r="E76" s="91">
        <v>9.75</v>
      </c>
      <c r="F76" s="68">
        <v>97</v>
      </c>
      <c r="G76" s="68">
        <v>60</v>
      </c>
      <c r="H76" s="68">
        <f t="shared" si="8"/>
        <v>91.96875</v>
      </c>
      <c r="I76" s="1">
        <f t="shared" ref="I76:I139" si="9">F76-H76</f>
        <v>5.03125</v>
      </c>
      <c r="J76" s="1">
        <f t="shared" ref="J76:J139" si="10">I76-$M$4</f>
        <v>-70.660750000000007</v>
      </c>
      <c r="K76" t="str">
        <f t="shared" ref="K76:K139" si="11">IF(J76&lt;=0,"KO","OK")</f>
        <v>KO</v>
      </c>
      <c r="L76" s="1">
        <f t="shared" ref="L76:L139" si="12">D76-H76</f>
        <v>68.03125</v>
      </c>
      <c r="M76" s="1">
        <f t="shared" ref="M76:M139" si="13">D76-L76</f>
        <v>91.96875</v>
      </c>
      <c r="O76" s="160">
        <f t="shared" ref="O76:O139" si="14">G76/$B$3^2</f>
        <v>60</v>
      </c>
      <c r="P76" s="51">
        <f t="shared" ref="P76:P139" si="15">G76*I76/$B$3/($B$2*9.81*0.5)</f>
        <v>5.4706082229018009E-2</v>
      </c>
    </row>
    <row r="77" spans="1:16" x14ac:dyDescent="0.25">
      <c r="A77" s="316"/>
      <c r="B77" s="68">
        <v>67</v>
      </c>
      <c r="C77" s="68">
        <v>60110020</v>
      </c>
      <c r="D77" s="68">
        <v>170</v>
      </c>
      <c r="E77" s="91">
        <v>10</v>
      </c>
      <c r="F77" s="68">
        <v>101</v>
      </c>
      <c r="G77" s="68">
        <v>60</v>
      </c>
      <c r="H77" s="68">
        <f t="shared" si="8"/>
        <v>91.96875</v>
      </c>
      <c r="I77" s="1">
        <f t="shared" si="9"/>
        <v>9.03125</v>
      </c>
      <c r="J77" s="1">
        <f t="shared" si="10"/>
        <v>-66.660750000000007</v>
      </c>
      <c r="K77" t="str">
        <f t="shared" si="11"/>
        <v>KO</v>
      </c>
      <c r="L77" s="1">
        <f t="shared" si="12"/>
        <v>78.03125</v>
      </c>
      <c r="M77" s="1">
        <f t="shared" si="13"/>
        <v>91.96875</v>
      </c>
      <c r="O77" s="160">
        <f t="shared" si="14"/>
        <v>60</v>
      </c>
      <c r="P77" s="51">
        <f t="shared" si="15"/>
        <v>9.8199116547740398E-2</v>
      </c>
    </row>
    <row r="78" spans="1:16" x14ac:dyDescent="0.25">
      <c r="A78" s="316"/>
      <c r="B78" s="68">
        <v>68</v>
      </c>
      <c r="C78" s="68">
        <v>60110070</v>
      </c>
      <c r="D78" s="68">
        <v>200</v>
      </c>
      <c r="E78" s="91">
        <v>10.5</v>
      </c>
      <c r="F78" s="68">
        <v>118</v>
      </c>
      <c r="G78" s="68">
        <v>60</v>
      </c>
      <c r="H78" s="68">
        <f t="shared" si="8"/>
        <v>91.96875</v>
      </c>
      <c r="I78" s="1">
        <f t="shared" si="9"/>
        <v>26.03125</v>
      </c>
      <c r="J78" s="1">
        <f t="shared" si="10"/>
        <v>-49.660750000000007</v>
      </c>
      <c r="K78" t="str">
        <f t="shared" si="11"/>
        <v>KO</v>
      </c>
      <c r="L78" s="1">
        <f t="shared" si="12"/>
        <v>108.03125</v>
      </c>
      <c r="M78" s="1">
        <f t="shared" si="13"/>
        <v>91.96875</v>
      </c>
      <c r="O78" s="160">
        <f t="shared" si="14"/>
        <v>60</v>
      </c>
      <c r="P78" s="51">
        <f t="shared" si="15"/>
        <v>0.28304451240231054</v>
      </c>
    </row>
    <row r="79" spans="1:16" ht="15.75" thickBot="1" x14ac:dyDescent="0.3">
      <c r="A79" s="316"/>
      <c r="B79" s="68">
        <v>69</v>
      </c>
      <c r="C79" s="68">
        <v>60110022</v>
      </c>
      <c r="D79" s="68">
        <v>250</v>
      </c>
      <c r="E79" s="91">
        <v>12</v>
      </c>
      <c r="F79" s="68">
        <v>112</v>
      </c>
      <c r="G79" s="68">
        <v>60</v>
      </c>
      <c r="H79" s="68">
        <f t="shared" si="8"/>
        <v>91.96875</v>
      </c>
      <c r="I79" s="1">
        <f t="shared" si="9"/>
        <v>20.03125</v>
      </c>
      <c r="J79" s="1">
        <f t="shared" si="10"/>
        <v>-55.660750000000007</v>
      </c>
      <c r="K79" t="str">
        <f t="shared" si="11"/>
        <v>KO</v>
      </c>
      <c r="L79" s="1">
        <f t="shared" si="12"/>
        <v>158.03125</v>
      </c>
      <c r="M79" s="1">
        <f t="shared" si="13"/>
        <v>91.96875</v>
      </c>
      <c r="O79" s="160">
        <f t="shared" si="14"/>
        <v>60</v>
      </c>
      <c r="P79" s="51">
        <f t="shared" si="15"/>
        <v>0.21780496092422699</v>
      </c>
    </row>
    <row r="80" spans="1:16" ht="15.75" thickBot="1" x14ac:dyDescent="0.3">
      <c r="A80" s="316"/>
      <c r="B80" s="90">
        <v>70</v>
      </c>
      <c r="C80" s="69">
        <v>60110074</v>
      </c>
      <c r="D80" s="69">
        <v>250</v>
      </c>
      <c r="E80" s="92">
        <v>11.25</v>
      </c>
      <c r="F80" s="69">
        <v>143</v>
      </c>
      <c r="G80" s="69">
        <v>60</v>
      </c>
      <c r="H80" s="69">
        <f t="shared" si="8"/>
        <v>91.96875</v>
      </c>
      <c r="I80" s="15">
        <f t="shared" si="9"/>
        <v>51.03125</v>
      </c>
      <c r="J80" s="15">
        <f t="shared" si="10"/>
        <v>-24.660750000000007</v>
      </c>
      <c r="K80" s="14" t="str">
        <f t="shared" si="11"/>
        <v>KO</v>
      </c>
      <c r="L80" s="15">
        <f t="shared" si="12"/>
        <v>158.03125</v>
      </c>
      <c r="M80" s="216">
        <f t="shared" si="13"/>
        <v>91.96875</v>
      </c>
      <c r="O80" s="160">
        <f t="shared" si="14"/>
        <v>60</v>
      </c>
      <c r="P80" s="51">
        <f t="shared" si="15"/>
        <v>0.55487597689432555</v>
      </c>
    </row>
    <row r="81" spans="1:16" x14ac:dyDescent="0.25">
      <c r="A81" s="316"/>
      <c r="B81" s="68">
        <v>71</v>
      </c>
      <c r="C81" s="68">
        <v>60110096</v>
      </c>
      <c r="D81" s="68">
        <v>290</v>
      </c>
      <c r="E81" s="91">
        <v>12</v>
      </c>
      <c r="F81" s="68">
        <v>155</v>
      </c>
      <c r="G81" s="68">
        <v>60</v>
      </c>
      <c r="H81" s="68">
        <f t="shared" si="8"/>
        <v>91.96875</v>
      </c>
      <c r="I81" s="1">
        <f t="shared" si="9"/>
        <v>63.03125</v>
      </c>
      <c r="J81" s="1">
        <f t="shared" si="10"/>
        <v>-12.660750000000007</v>
      </c>
      <c r="K81" t="str">
        <f t="shared" si="11"/>
        <v>KO</v>
      </c>
      <c r="L81" s="1">
        <f t="shared" si="12"/>
        <v>198.03125</v>
      </c>
      <c r="M81" s="1">
        <f t="shared" si="13"/>
        <v>91.96875</v>
      </c>
      <c r="O81" s="160">
        <f t="shared" si="14"/>
        <v>60</v>
      </c>
      <c r="P81" s="51">
        <f t="shared" si="15"/>
        <v>0.68535507985049271</v>
      </c>
    </row>
    <row r="82" spans="1:16" x14ac:dyDescent="0.25">
      <c r="A82" s="316"/>
      <c r="B82" s="68">
        <v>72</v>
      </c>
      <c r="C82" s="68">
        <v>60110098</v>
      </c>
      <c r="D82" s="68">
        <v>320</v>
      </c>
      <c r="E82" s="91">
        <v>12.25</v>
      </c>
      <c r="F82" s="68">
        <v>172</v>
      </c>
      <c r="G82" s="68">
        <v>60</v>
      </c>
      <c r="H82" s="68">
        <f t="shared" si="8"/>
        <v>91.96875</v>
      </c>
      <c r="I82" s="1">
        <f t="shared" si="9"/>
        <v>80.03125</v>
      </c>
      <c r="J82" s="1">
        <f t="shared" si="10"/>
        <v>4.3392499999999927</v>
      </c>
      <c r="K82" t="str">
        <f t="shared" si="11"/>
        <v>OK</v>
      </c>
      <c r="L82" s="1">
        <f t="shared" si="12"/>
        <v>228.03125</v>
      </c>
      <c r="M82" s="1">
        <f t="shared" si="13"/>
        <v>91.96875</v>
      </c>
      <c r="O82" s="160">
        <f t="shared" si="14"/>
        <v>60</v>
      </c>
      <c r="P82" s="51">
        <f t="shared" si="15"/>
        <v>0.87020047570506287</v>
      </c>
    </row>
    <row r="83" spans="1:16" x14ac:dyDescent="0.25">
      <c r="A83" s="316"/>
      <c r="B83" s="68">
        <v>73</v>
      </c>
      <c r="C83" s="68">
        <v>60110166</v>
      </c>
      <c r="D83" s="68">
        <v>100</v>
      </c>
      <c r="E83" s="91">
        <v>9</v>
      </c>
      <c r="F83" s="68">
        <v>60</v>
      </c>
      <c r="G83" s="68">
        <v>70</v>
      </c>
      <c r="H83" s="68">
        <f t="shared" si="8"/>
        <v>78.830357142857139</v>
      </c>
      <c r="I83" s="1">
        <f t="shared" si="9"/>
        <v>-18.830357142857139</v>
      </c>
      <c r="J83" s="1">
        <f t="shared" si="10"/>
        <v>-94.522357142857146</v>
      </c>
      <c r="K83" t="str">
        <f t="shared" si="11"/>
        <v>KO</v>
      </c>
      <c r="L83" s="1">
        <f t="shared" si="12"/>
        <v>21.169642857142861</v>
      </c>
      <c r="M83" s="1">
        <f t="shared" si="13"/>
        <v>78.830357142857139</v>
      </c>
      <c r="O83" s="160">
        <f t="shared" si="14"/>
        <v>70</v>
      </c>
      <c r="P83" s="51">
        <f t="shared" si="15"/>
        <v>-0.23887189942235809</v>
      </c>
    </row>
    <row r="84" spans="1:16" x14ac:dyDescent="0.25">
      <c r="A84" s="316"/>
      <c r="B84" s="68">
        <v>74</v>
      </c>
      <c r="C84" s="68">
        <v>60110023</v>
      </c>
      <c r="D84" s="68">
        <v>140</v>
      </c>
      <c r="E84" s="91">
        <v>9.75</v>
      </c>
      <c r="F84" s="68">
        <v>84</v>
      </c>
      <c r="G84" s="68">
        <v>70</v>
      </c>
      <c r="H84" s="68">
        <f t="shared" si="8"/>
        <v>78.830357142857139</v>
      </c>
      <c r="I84" s="1">
        <f t="shared" si="9"/>
        <v>5.1696428571428612</v>
      </c>
      <c r="J84" s="1">
        <f t="shared" si="10"/>
        <v>-70.522357142857146</v>
      </c>
      <c r="K84" t="str">
        <f t="shared" si="11"/>
        <v>KO</v>
      </c>
      <c r="L84" s="1">
        <f t="shared" si="12"/>
        <v>61.169642857142861</v>
      </c>
      <c r="M84" s="1">
        <f t="shared" si="13"/>
        <v>78.830357142857139</v>
      </c>
      <c r="O84" s="160">
        <f t="shared" si="14"/>
        <v>70</v>
      </c>
      <c r="P84" s="51">
        <f t="shared" si="15"/>
        <v>6.5579340808698663E-2</v>
      </c>
    </row>
    <row r="85" spans="1:16" x14ac:dyDescent="0.25">
      <c r="A85" s="316"/>
      <c r="B85" s="68">
        <v>75</v>
      </c>
      <c r="C85" s="68">
        <v>60110025</v>
      </c>
      <c r="D85" s="68">
        <v>170</v>
      </c>
      <c r="E85" s="91">
        <v>10.5</v>
      </c>
      <c r="F85" s="68">
        <v>97</v>
      </c>
      <c r="G85" s="68">
        <v>70</v>
      </c>
      <c r="H85" s="68">
        <f t="shared" si="8"/>
        <v>78.830357142857139</v>
      </c>
      <c r="I85" s="1">
        <f t="shared" si="9"/>
        <v>18.169642857142861</v>
      </c>
      <c r="J85" s="1">
        <f t="shared" si="10"/>
        <v>-57.522357142857146</v>
      </c>
      <c r="K85" t="str">
        <f t="shared" si="11"/>
        <v>KO</v>
      </c>
      <c r="L85" s="1">
        <f t="shared" si="12"/>
        <v>91.169642857142861</v>
      </c>
      <c r="M85" s="1">
        <f t="shared" si="13"/>
        <v>78.830357142857139</v>
      </c>
      <c r="O85" s="160">
        <f t="shared" si="14"/>
        <v>70</v>
      </c>
      <c r="P85" s="51">
        <f t="shared" si="15"/>
        <v>0.23049042926718771</v>
      </c>
    </row>
    <row r="86" spans="1:16" x14ac:dyDescent="0.25">
      <c r="A86" s="316"/>
      <c r="B86" s="68">
        <v>76</v>
      </c>
      <c r="C86" s="68">
        <v>60110071</v>
      </c>
      <c r="D86" s="68">
        <v>200</v>
      </c>
      <c r="E86" s="91">
        <v>11</v>
      </c>
      <c r="F86" s="68">
        <v>113</v>
      </c>
      <c r="G86" s="68">
        <v>70</v>
      </c>
      <c r="H86" s="68">
        <f t="shared" si="8"/>
        <v>78.830357142857139</v>
      </c>
      <c r="I86" s="1">
        <f t="shared" si="9"/>
        <v>34.169642857142861</v>
      </c>
      <c r="J86" s="1">
        <f t="shared" si="10"/>
        <v>-41.522357142857146</v>
      </c>
      <c r="K86" t="str">
        <f t="shared" si="11"/>
        <v>KO</v>
      </c>
      <c r="L86" s="1">
        <f t="shared" si="12"/>
        <v>121.16964285714286</v>
      </c>
      <c r="M86" s="1">
        <f t="shared" si="13"/>
        <v>78.830357142857139</v>
      </c>
      <c r="O86" s="160">
        <f t="shared" si="14"/>
        <v>70</v>
      </c>
      <c r="P86" s="51">
        <f t="shared" si="15"/>
        <v>0.43345792275455891</v>
      </c>
    </row>
    <row r="87" spans="1:16" ht="15.75" thickBot="1" x14ac:dyDescent="0.3">
      <c r="A87" s="316"/>
      <c r="B87" s="68">
        <v>77</v>
      </c>
      <c r="C87" s="68">
        <v>60110026</v>
      </c>
      <c r="D87" s="68">
        <v>250</v>
      </c>
      <c r="E87" s="91">
        <v>12.75</v>
      </c>
      <c r="F87" s="68">
        <v>124</v>
      </c>
      <c r="G87" s="68">
        <v>70</v>
      </c>
      <c r="H87" s="68">
        <f t="shared" si="8"/>
        <v>78.830357142857139</v>
      </c>
      <c r="I87" s="1">
        <f t="shared" si="9"/>
        <v>45.169642857142861</v>
      </c>
      <c r="J87" s="1">
        <f t="shared" si="10"/>
        <v>-30.522357142857146</v>
      </c>
      <c r="K87" t="str">
        <f t="shared" si="11"/>
        <v>KO</v>
      </c>
      <c r="L87" s="1">
        <f t="shared" si="12"/>
        <v>171.16964285714286</v>
      </c>
      <c r="M87" s="1">
        <f t="shared" si="13"/>
        <v>78.830357142857139</v>
      </c>
      <c r="O87" s="160">
        <f t="shared" si="14"/>
        <v>70</v>
      </c>
      <c r="P87" s="51">
        <f t="shared" si="15"/>
        <v>0.57299807452712659</v>
      </c>
    </row>
    <row r="88" spans="1:16" ht="15.75" thickBot="1" x14ac:dyDescent="0.3">
      <c r="A88" s="316"/>
      <c r="B88" s="90">
        <v>78</v>
      </c>
      <c r="C88" s="69">
        <v>60110075</v>
      </c>
      <c r="D88" s="69">
        <v>250</v>
      </c>
      <c r="E88" s="92">
        <v>11.75</v>
      </c>
      <c r="F88" s="69">
        <v>138</v>
      </c>
      <c r="G88" s="69">
        <v>70</v>
      </c>
      <c r="H88" s="69">
        <f t="shared" si="8"/>
        <v>78.830357142857139</v>
      </c>
      <c r="I88" s="15">
        <f t="shared" si="9"/>
        <v>59.169642857142861</v>
      </c>
      <c r="J88" s="15">
        <f t="shared" si="10"/>
        <v>-16.522357142857146</v>
      </c>
      <c r="K88" s="14" t="str">
        <f t="shared" si="11"/>
        <v>KO</v>
      </c>
      <c r="L88" s="15">
        <f t="shared" si="12"/>
        <v>171.16964285714286</v>
      </c>
      <c r="M88" s="216">
        <f t="shared" si="13"/>
        <v>78.830357142857139</v>
      </c>
      <c r="O88" s="160">
        <f t="shared" si="14"/>
        <v>70</v>
      </c>
      <c r="P88" s="51">
        <f t="shared" si="15"/>
        <v>0.75059463132857629</v>
      </c>
    </row>
    <row r="89" spans="1:16" x14ac:dyDescent="0.25">
      <c r="A89" s="316"/>
      <c r="B89" s="68">
        <v>79</v>
      </c>
      <c r="C89" s="68">
        <v>60110099</v>
      </c>
      <c r="D89" s="68">
        <v>320</v>
      </c>
      <c r="E89" s="91">
        <v>12.75</v>
      </c>
      <c r="F89" s="68">
        <v>171</v>
      </c>
      <c r="G89" s="68">
        <v>70</v>
      </c>
      <c r="H89" s="68">
        <f t="shared" si="8"/>
        <v>78.830357142857139</v>
      </c>
      <c r="I89" s="1">
        <f t="shared" si="9"/>
        <v>92.169642857142861</v>
      </c>
      <c r="J89" s="1">
        <f t="shared" si="10"/>
        <v>16.477642857142854</v>
      </c>
      <c r="K89" t="str">
        <f t="shared" si="11"/>
        <v>OK</v>
      </c>
      <c r="L89" s="1">
        <f t="shared" si="12"/>
        <v>241.16964285714286</v>
      </c>
      <c r="M89" s="1">
        <f t="shared" si="13"/>
        <v>78.830357142857139</v>
      </c>
      <c r="O89" s="160">
        <f t="shared" si="14"/>
        <v>70</v>
      </c>
      <c r="P89" s="51">
        <f t="shared" si="15"/>
        <v>1.1692150866462794</v>
      </c>
    </row>
    <row r="90" spans="1:16" x14ac:dyDescent="0.25">
      <c r="A90" s="316"/>
      <c r="B90" s="68">
        <v>80</v>
      </c>
      <c r="C90" s="68">
        <v>60110167</v>
      </c>
      <c r="D90" s="68">
        <v>100</v>
      </c>
      <c r="E90" s="91">
        <v>9.25</v>
      </c>
      <c r="F90" s="68">
        <v>64</v>
      </c>
      <c r="G90" s="68">
        <v>80</v>
      </c>
      <c r="H90" s="68">
        <f t="shared" si="8"/>
        <v>68.9765625</v>
      </c>
      <c r="I90" s="1">
        <f t="shared" si="9"/>
        <v>-4.9765625</v>
      </c>
      <c r="J90" s="1">
        <f t="shared" si="10"/>
        <v>-80.668562500000007</v>
      </c>
      <c r="K90" t="str">
        <f t="shared" si="11"/>
        <v>KO</v>
      </c>
      <c r="L90" s="1">
        <f t="shared" si="12"/>
        <v>31.0234375</v>
      </c>
      <c r="M90" s="1">
        <f t="shared" si="13"/>
        <v>68.9765625</v>
      </c>
      <c r="O90" s="160">
        <f t="shared" si="14"/>
        <v>80</v>
      </c>
      <c r="P90" s="51">
        <f t="shared" si="15"/>
        <v>-7.2148601200588969E-2</v>
      </c>
    </row>
    <row r="91" spans="1:16" x14ac:dyDescent="0.25">
      <c r="A91" s="316"/>
      <c r="B91" s="68">
        <v>81</v>
      </c>
      <c r="C91" s="68">
        <v>60110058</v>
      </c>
      <c r="D91" s="68">
        <v>120</v>
      </c>
      <c r="E91" s="91">
        <v>9.75</v>
      </c>
      <c r="F91" s="68">
        <v>69</v>
      </c>
      <c r="G91" s="68">
        <v>80</v>
      </c>
      <c r="H91" s="68">
        <f t="shared" si="8"/>
        <v>68.9765625</v>
      </c>
      <c r="I91" s="1">
        <f t="shared" si="9"/>
        <v>2.34375E-2</v>
      </c>
      <c r="J91" s="1">
        <f t="shared" si="10"/>
        <v>-75.668562500000007</v>
      </c>
      <c r="K91" t="str">
        <f t="shared" si="11"/>
        <v>KO</v>
      </c>
      <c r="L91" s="1">
        <f t="shared" si="12"/>
        <v>51.0234375</v>
      </c>
      <c r="M91" s="1">
        <f t="shared" si="13"/>
        <v>68.9765625</v>
      </c>
      <c r="O91" s="160">
        <f t="shared" si="14"/>
        <v>80</v>
      </c>
      <c r="P91" s="51">
        <f t="shared" si="15"/>
        <v>3.3978933061501872E-4</v>
      </c>
    </row>
    <row r="92" spans="1:16" x14ac:dyDescent="0.25">
      <c r="A92" s="316"/>
      <c r="B92" s="68">
        <v>82</v>
      </c>
      <c r="C92" s="68">
        <v>60110064</v>
      </c>
      <c r="D92" s="68">
        <v>140</v>
      </c>
      <c r="E92" s="91">
        <v>10.25</v>
      </c>
      <c r="F92" s="68">
        <v>79</v>
      </c>
      <c r="G92" s="68">
        <v>80</v>
      </c>
      <c r="H92" s="68">
        <f t="shared" si="8"/>
        <v>68.9765625</v>
      </c>
      <c r="I92" s="1">
        <f t="shared" si="9"/>
        <v>10.0234375</v>
      </c>
      <c r="J92" s="1">
        <f t="shared" si="10"/>
        <v>-65.668562500000007</v>
      </c>
      <c r="K92" t="str">
        <f t="shared" si="11"/>
        <v>KO</v>
      </c>
      <c r="L92" s="1">
        <f t="shared" si="12"/>
        <v>71.0234375</v>
      </c>
      <c r="M92" s="1">
        <f t="shared" si="13"/>
        <v>68.9765625</v>
      </c>
      <c r="O92" s="160">
        <f t="shared" si="14"/>
        <v>80</v>
      </c>
      <c r="P92" s="51">
        <f t="shared" si="15"/>
        <v>0.14531657039302298</v>
      </c>
    </row>
    <row r="93" spans="1:16" x14ac:dyDescent="0.25">
      <c r="A93" s="316"/>
      <c r="B93" s="68">
        <v>83</v>
      </c>
      <c r="C93" s="68">
        <v>60110093</v>
      </c>
      <c r="D93" s="68">
        <v>150</v>
      </c>
      <c r="E93" s="91">
        <v>10.5</v>
      </c>
      <c r="F93" s="68">
        <v>84</v>
      </c>
      <c r="G93" s="68">
        <v>80</v>
      </c>
      <c r="H93" s="68">
        <f t="shared" si="8"/>
        <v>68.9765625</v>
      </c>
      <c r="I93" s="1">
        <f t="shared" si="9"/>
        <v>15.0234375</v>
      </c>
      <c r="J93" s="1">
        <f t="shared" si="10"/>
        <v>-60.668562500000007</v>
      </c>
      <c r="K93" t="str">
        <f t="shared" si="11"/>
        <v>KO</v>
      </c>
      <c r="L93" s="1">
        <f t="shared" si="12"/>
        <v>81.0234375</v>
      </c>
      <c r="M93" s="1">
        <f t="shared" si="13"/>
        <v>68.9765625</v>
      </c>
      <c r="O93" s="160">
        <f t="shared" si="14"/>
        <v>80</v>
      </c>
      <c r="P93" s="51">
        <f t="shared" si="15"/>
        <v>0.21780496092422699</v>
      </c>
    </row>
    <row r="94" spans="1:16" x14ac:dyDescent="0.25">
      <c r="A94" s="316"/>
      <c r="B94" s="68">
        <v>84</v>
      </c>
      <c r="C94" s="68">
        <v>60110047</v>
      </c>
      <c r="D94" s="68">
        <v>170</v>
      </c>
      <c r="E94" s="91">
        <v>11</v>
      </c>
      <c r="F94" s="68">
        <v>91</v>
      </c>
      <c r="G94" s="68">
        <v>80</v>
      </c>
      <c r="H94" s="68">
        <f t="shared" si="8"/>
        <v>68.9765625</v>
      </c>
      <c r="I94" s="1">
        <f t="shared" si="9"/>
        <v>22.0234375</v>
      </c>
      <c r="J94" s="1">
        <f t="shared" si="10"/>
        <v>-53.668562500000007</v>
      </c>
      <c r="K94" t="str">
        <f t="shared" si="11"/>
        <v>KO</v>
      </c>
      <c r="L94" s="1">
        <f t="shared" si="12"/>
        <v>101.0234375</v>
      </c>
      <c r="M94" s="1">
        <f t="shared" si="13"/>
        <v>68.9765625</v>
      </c>
      <c r="O94" s="160">
        <f t="shared" si="14"/>
        <v>80</v>
      </c>
      <c r="P94" s="51">
        <f t="shared" si="15"/>
        <v>0.31928870766791256</v>
      </c>
    </row>
    <row r="95" spans="1:16" ht="15.75" thickBot="1" x14ac:dyDescent="0.3">
      <c r="A95" s="316"/>
      <c r="B95" s="68">
        <v>85</v>
      </c>
      <c r="C95" s="68">
        <v>60110077</v>
      </c>
      <c r="D95" s="68">
        <v>200</v>
      </c>
      <c r="E95" s="91">
        <v>11.5</v>
      </c>
      <c r="F95" s="68">
        <v>108</v>
      </c>
      <c r="G95" s="68">
        <v>80</v>
      </c>
      <c r="H95" s="68">
        <f t="shared" si="8"/>
        <v>68.9765625</v>
      </c>
      <c r="I95" s="1">
        <f t="shared" si="9"/>
        <v>39.0234375</v>
      </c>
      <c r="J95" s="1">
        <f t="shared" si="10"/>
        <v>-36.668562500000007</v>
      </c>
      <c r="K95" t="str">
        <f t="shared" si="11"/>
        <v>KO</v>
      </c>
      <c r="L95" s="1">
        <f t="shared" si="12"/>
        <v>131.0234375</v>
      </c>
      <c r="M95" s="1">
        <f t="shared" si="13"/>
        <v>68.9765625</v>
      </c>
      <c r="O95" s="160">
        <f t="shared" si="14"/>
        <v>80</v>
      </c>
      <c r="P95" s="51">
        <f t="shared" si="15"/>
        <v>0.56574923547400613</v>
      </c>
    </row>
    <row r="96" spans="1:16" ht="15.75" thickBot="1" x14ac:dyDescent="0.3">
      <c r="A96" s="316"/>
      <c r="B96" s="90">
        <v>86</v>
      </c>
      <c r="C96" s="69">
        <v>60110090</v>
      </c>
      <c r="D96" s="69">
        <v>250</v>
      </c>
      <c r="E96" s="92">
        <v>12.25</v>
      </c>
      <c r="F96" s="69">
        <v>133</v>
      </c>
      <c r="G96" s="69">
        <v>80</v>
      </c>
      <c r="H96" s="69">
        <f t="shared" si="8"/>
        <v>68.9765625</v>
      </c>
      <c r="I96" s="15">
        <f t="shared" si="9"/>
        <v>64.0234375</v>
      </c>
      <c r="J96" s="15">
        <f t="shared" si="10"/>
        <v>-11.668562500000007</v>
      </c>
      <c r="K96" s="14" t="str">
        <f t="shared" si="11"/>
        <v>KO</v>
      </c>
      <c r="L96" s="15">
        <f t="shared" si="12"/>
        <v>181.0234375</v>
      </c>
      <c r="M96" s="216">
        <f t="shared" si="13"/>
        <v>68.9765625</v>
      </c>
      <c r="O96" s="160">
        <f t="shared" si="14"/>
        <v>80</v>
      </c>
      <c r="P96" s="51">
        <f t="shared" si="15"/>
        <v>0.9281911881300261</v>
      </c>
    </row>
    <row r="97" spans="1:16" x14ac:dyDescent="0.25">
      <c r="A97" s="316"/>
      <c r="B97" s="68">
        <v>87</v>
      </c>
      <c r="C97" s="68">
        <v>60110168</v>
      </c>
      <c r="D97" s="68">
        <v>100</v>
      </c>
      <c r="E97" s="91">
        <v>9.5</v>
      </c>
      <c r="F97" s="68">
        <v>59</v>
      </c>
      <c r="G97" s="68">
        <v>90</v>
      </c>
      <c r="H97" s="68">
        <f t="shared" si="8"/>
        <v>61.3125</v>
      </c>
      <c r="I97" s="1">
        <f t="shared" si="9"/>
        <v>-2.3125</v>
      </c>
      <c r="J97" s="1">
        <f t="shared" si="10"/>
        <v>-78.004500000000007</v>
      </c>
      <c r="K97" t="str">
        <f t="shared" si="11"/>
        <v>KO</v>
      </c>
      <c r="L97" s="1">
        <f t="shared" si="12"/>
        <v>38.6875</v>
      </c>
      <c r="M97" s="1">
        <f t="shared" si="13"/>
        <v>61.3125</v>
      </c>
      <c r="O97" s="160">
        <f t="shared" si="14"/>
        <v>90</v>
      </c>
      <c r="P97" s="51">
        <f t="shared" si="15"/>
        <v>-3.7716615698267071E-2</v>
      </c>
    </row>
    <row r="98" spans="1:16" x14ac:dyDescent="0.25">
      <c r="A98" s="316"/>
      <c r="B98" s="68">
        <v>88</v>
      </c>
      <c r="C98" s="68">
        <v>60110059</v>
      </c>
      <c r="D98" s="68">
        <v>120</v>
      </c>
      <c r="E98" s="91">
        <v>10</v>
      </c>
      <c r="F98" s="68">
        <v>69</v>
      </c>
      <c r="G98" s="68">
        <v>90</v>
      </c>
      <c r="H98" s="68">
        <f t="shared" si="8"/>
        <v>61.3125</v>
      </c>
      <c r="I98" s="1">
        <f t="shared" si="9"/>
        <v>7.6875</v>
      </c>
      <c r="J98" s="1">
        <f t="shared" si="10"/>
        <v>-68.004500000000007</v>
      </c>
      <c r="K98" t="str">
        <f t="shared" si="11"/>
        <v>KO</v>
      </c>
      <c r="L98" s="1">
        <f t="shared" si="12"/>
        <v>58.6875</v>
      </c>
      <c r="M98" s="1">
        <f t="shared" si="13"/>
        <v>61.3125</v>
      </c>
      <c r="O98" s="160">
        <f t="shared" si="14"/>
        <v>90</v>
      </c>
      <c r="P98" s="51">
        <f t="shared" si="15"/>
        <v>0.12538226299694188</v>
      </c>
    </row>
    <row r="99" spans="1:16" x14ac:dyDescent="0.25">
      <c r="A99" s="316"/>
      <c r="B99" s="68">
        <v>89</v>
      </c>
      <c r="C99" s="68">
        <v>60110027</v>
      </c>
      <c r="D99" s="68">
        <v>140</v>
      </c>
      <c r="E99" s="91">
        <v>10.5</v>
      </c>
      <c r="F99" s="68">
        <v>80</v>
      </c>
      <c r="G99" s="68">
        <v>90</v>
      </c>
      <c r="H99" s="68">
        <f t="shared" si="8"/>
        <v>61.3125</v>
      </c>
      <c r="I99" s="1">
        <f t="shared" si="9"/>
        <v>18.6875</v>
      </c>
      <c r="J99" s="1">
        <f t="shared" si="10"/>
        <v>-57.004500000000007</v>
      </c>
      <c r="K99" t="str">
        <f t="shared" si="11"/>
        <v>KO</v>
      </c>
      <c r="L99" s="1">
        <f t="shared" si="12"/>
        <v>78.6875</v>
      </c>
      <c r="M99" s="1">
        <f t="shared" si="13"/>
        <v>61.3125</v>
      </c>
      <c r="O99" s="160">
        <f t="shared" si="14"/>
        <v>90</v>
      </c>
      <c r="P99" s="51">
        <f t="shared" si="15"/>
        <v>0.30479102956167176</v>
      </c>
    </row>
    <row r="100" spans="1:16" x14ac:dyDescent="0.25">
      <c r="A100" s="316"/>
      <c r="B100" s="68">
        <v>90</v>
      </c>
      <c r="C100" s="68">
        <v>60110048</v>
      </c>
      <c r="D100" s="68">
        <v>170</v>
      </c>
      <c r="E100" s="91">
        <v>11.25</v>
      </c>
      <c r="F100" s="68">
        <v>92</v>
      </c>
      <c r="G100" s="68">
        <v>90</v>
      </c>
      <c r="H100" s="68">
        <f t="shared" si="8"/>
        <v>61.3125</v>
      </c>
      <c r="I100" s="1">
        <f t="shared" si="9"/>
        <v>30.6875</v>
      </c>
      <c r="J100" s="1">
        <f t="shared" si="10"/>
        <v>-45.004500000000007</v>
      </c>
      <c r="K100" t="str">
        <f t="shared" si="11"/>
        <v>KO</v>
      </c>
      <c r="L100" s="1">
        <f t="shared" si="12"/>
        <v>108.6875</v>
      </c>
      <c r="M100" s="1">
        <f t="shared" si="13"/>
        <v>61.3125</v>
      </c>
      <c r="O100" s="160">
        <f t="shared" si="14"/>
        <v>90</v>
      </c>
      <c r="P100" s="51">
        <f t="shared" si="15"/>
        <v>0.50050968399592255</v>
      </c>
    </row>
    <row r="101" spans="1:16" ht="15.75" thickBot="1" x14ac:dyDescent="0.3">
      <c r="A101" s="316"/>
      <c r="B101" s="68">
        <v>91</v>
      </c>
      <c r="C101" s="68">
        <v>60110076</v>
      </c>
      <c r="D101" s="68">
        <v>200</v>
      </c>
      <c r="E101" s="91">
        <v>11.75</v>
      </c>
      <c r="F101" s="68">
        <v>89</v>
      </c>
      <c r="G101" s="68">
        <v>90</v>
      </c>
      <c r="H101" s="68">
        <f t="shared" si="8"/>
        <v>61.3125</v>
      </c>
      <c r="I101" s="1">
        <f t="shared" si="9"/>
        <v>27.6875</v>
      </c>
      <c r="J101" s="1">
        <f t="shared" si="10"/>
        <v>-48.004500000000007</v>
      </c>
      <c r="K101" t="str">
        <f t="shared" si="11"/>
        <v>KO</v>
      </c>
      <c r="L101" s="1">
        <f t="shared" si="12"/>
        <v>138.6875</v>
      </c>
      <c r="M101" s="1">
        <f t="shared" si="13"/>
        <v>61.3125</v>
      </c>
      <c r="O101" s="160">
        <f t="shared" si="14"/>
        <v>90</v>
      </c>
      <c r="P101" s="51">
        <f t="shared" si="15"/>
        <v>0.45158002038735984</v>
      </c>
    </row>
    <row r="102" spans="1:16" ht="15.75" thickBot="1" x14ac:dyDescent="0.3">
      <c r="A102" s="316"/>
      <c r="B102" s="90">
        <v>92</v>
      </c>
      <c r="C102" s="69">
        <v>60110091</v>
      </c>
      <c r="D102" s="69">
        <v>250</v>
      </c>
      <c r="E102" s="92">
        <v>12.5</v>
      </c>
      <c r="F102" s="69">
        <v>133</v>
      </c>
      <c r="G102" s="69">
        <v>90</v>
      </c>
      <c r="H102" s="69">
        <f t="shared" si="8"/>
        <v>61.3125</v>
      </c>
      <c r="I102" s="15">
        <f t="shared" si="9"/>
        <v>71.6875</v>
      </c>
      <c r="J102" s="15">
        <f t="shared" si="10"/>
        <v>-4.0045000000000073</v>
      </c>
      <c r="K102" s="14" t="str">
        <f t="shared" si="11"/>
        <v>KO</v>
      </c>
      <c r="L102" s="15">
        <f t="shared" si="12"/>
        <v>188.6875</v>
      </c>
      <c r="M102" s="216">
        <f t="shared" si="13"/>
        <v>61.3125</v>
      </c>
      <c r="O102" s="160">
        <f t="shared" si="14"/>
        <v>90</v>
      </c>
      <c r="P102" s="51">
        <f t="shared" si="15"/>
        <v>1.1692150866462794</v>
      </c>
    </row>
    <row r="103" spans="1:16" x14ac:dyDescent="0.25">
      <c r="A103" s="316"/>
      <c r="B103" s="68">
        <v>93</v>
      </c>
      <c r="C103" s="68">
        <v>60110169</v>
      </c>
      <c r="D103" s="68">
        <v>100</v>
      </c>
      <c r="E103" s="91">
        <v>10</v>
      </c>
      <c r="F103" s="68">
        <v>55</v>
      </c>
      <c r="G103" s="68">
        <v>100</v>
      </c>
      <c r="H103" s="68">
        <f t="shared" si="8"/>
        <v>55.181249999999999</v>
      </c>
      <c r="I103" s="1">
        <f t="shared" si="9"/>
        <v>-0.18124999999999858</v>
      </c>
      <c r="J103" s="1">
        <f t="shared" si="10"/>
        <v>-75.873250000000013</v>
      </c>
      <c r="K103" t="str">
        <f t="shared" si="11"/>
        <v>KO</v>
      </c>
      <c r="L103" s="1">
        <f t="shared" si="12"/>
        <v>44.818750000000001</v>
      </c>
      <c r="M103" s="1">
        <f t="shared" si="13"/>
        <v>55.181249999999999</v>
      </c>
      <c r="O103" s="160">
        <f t="shared" si="14"/>
        <v>100</v>
      </c>
      <c r="P103" s="51">
        <f t="shared" si="15"/>
        <v>-3.2846301959451548E-3</v>
      </c>
    </row>
    <row r="104" spans="1:16" x14ac:dyDescent="0.25">
      <c r="A104" s="316"/>
      <c r="B104" s="68">
        <v>94</v>
      </c>
      <c r="C104" s="68">
        <v>60110000</v>
      </c>
      <c r="D104" s="68">
        <v>120</v>
      </c>
      <c r="E104" s="91">
        <v>10.25</v>
      </c>
      <c r="F104" s="68">
        <v>69</v>
      </c>
      <c r="G104" s="68">
        <v>100</v>
      </c>
      <c r="H104" s="68">
        <f t="shared" si="8"/>
        <v>55.181249999999999</v>
      </c>
      <c r="I104" s="1">
        <f t="shared" si="9"/>
        <v>13.818750000000001</v>
      </c>
      <c r="J104" s="1">
        <f t="shared" si="10"/>
        <v>-61.873250000000006</v>
      </c>
      <c r="K104" t="str">
        <f t="shared" si="11"/>
        <v>KO</v>
      </c>
      <c r="L104" s="1">
        <f t="shared" si="12"/>
        <v>64.818749999999994</v>
      </c>
      <c r="M104" s="1">
        <f t="shared" si="13"/>
        <v>55.181250000000006</v>
      </c>
      <c r="O104" s="160">
        <f t="shared" si="14"/>
        <v>100</v>
      </c>
      <c r="P104" s="51">
        <f t="shared" si="15"/>
        <v>0.25042473666326881</v>
      </c>
    </row>
    <row r="105" spans="1:16" x14ac:dyDescent="0.25">
      <c r="A105" s="316"/>
      <c r="B105" s="68">
        <v>95</v>
      </c>
      <c r="C105" s="68">
        <v>60110001</v>
      </c>
      <c r="D105" s="68">
        <v>140</v>
      </c>
      <c r="E105" s="91">
        <v>11</v>
      </c>
      <c r="F105" s="68">
        <v>74</v>
      </c>
      <c r="G105" s="68">
        <v>100</v>
      </c>
      <c r="H105" s="68">
        <f t="shared" si="8"/>
        <v>55.181249999999999</v>
      </c>
      <c r="I105" s="1">
        <f t="shared" si="9"/>
        <v>18.818750000000001</v>
      </c>
      <c r="J105" s="1">
        <f t="shared" si="10"/>
        <v>-56.873250000000006</v>
      </c>
      <c r="K105" t="str">
        <f t="shared" si="11"/>
        <v>KO</v>
      </c>
      <c r="L105" s="1">
        <f t="shared" si="12"/>
        <v>84.818749999999994</v>
      </c>
      <c r="M105" s="1">
        <f t="shared" si="13"/>
        <v>55.181250000000006</v>
      </c>
      <c r="O105" s="160">
        <f t="shared" si="14"/>
        <v>100</v>
      </c>
      <c r="P105" s="51">
        <f t="shared" si="15"/>
        <v>0.34103522482727378</v>
      </c>
    </row>
    <row r="106" spans="1:16" x14ac:dyDescent="0.25">
      <c r="A106" s="316"/>
      <c r="B106" s="68">
        <v>96</v>
      </c>
      <c r="C106" s="68">
        <v>60110002</v>
      </c>
      <c r="D106" s="68">
        <v>160</v>
      </c>
      <c r="E106" s="91">
        <v>11.25</v>
      </c>
      <c r="F106" s="68">
        <v>88</v>
      </c>
      <c r="G106" s="68">
        <v>100</v>
      </c>
      <c r="H106" s="68">
        <f t="shared" si="8"/>
        <v>55.181249999999999</v>
      </c>
      <c r="I106" s="1">
        <f t="shared" si="9"/>
        <v>32.818750000000001</v>
      </c>
      <c r="J106" s="1">
        <f t="shared" si="10"/>
        <v>-42.873250000000006</v>
      </c>
      <c r="K106" t="str">
        <f t="shared" si="11"/>
        <v>KO</v>
      </c>
      <c r="L106" s="1">
        <f t="shared" si="12"/>
        <v>104.81874999999999</v>
      </c>
      <c r="M106" s="1">
        <f t="shared" si="13"/>
        <v>55.181250000000006</v>
      </c>
      <c r="O106" s="160">
        <f t="shared" si="14"/>
        <v>100</v>
      </c>
      <c r="P106" s="51">
        <f t="shared" si="15"/>
        <v>0.59474459168648774</v>
      </c>
    </row>
    <row r="107" spans="1:16" x14ac:dyDescent="0.25">
      <c r="A107" s="316"/>
      <c r="B107" s="68">
        <v>97</v>
      </c>
      <c r="C107" s="68">
        <v>60110049</v>
      </c>
      <c r="D107" s="68">
        <v>170</v>
      </c>
      <c r="E107" s="91">
        <v>11.75</v>
      </c>
      <c r="F107" s="68">
        <v>86</v>
      </c>
      <c r="G107" s="68">
        <v>100</v>
      </c>
      <c r="H107" s="68">
        <f t="shared" si="8"/>
        <v>55.181249999999999</v>
      </c>
      <c r="I107" s="1">
        <f t="shared" si="9"/>
        <v>30.818750000000001</v>
      </c>
      <c r="J107" s="1">
        <f t="shared" si="10"/>
        <v>-44.873250000000006</v>
      </c>
      <c r="K107" t="str">
        <f t="shared" si="11"/>
        <v>KO</v>
      </c>
      <c r="L107" s="1">
        <f t="shared" si="12"/>
        <v>114.81874999999999</v>
      </c>
      <c r="M107" s="1">
        <f t="shared" si="13"/>
        <v>55.181250000000006</v>
      </c>
      <c r="O107" s="160">
        <f t="shared" si="14"/>
        <v>100</v>
      </c>
      <c r="P107" s="51">
        <f t="shared" si="15"/>
        <v>0.55850039642088567</v>
      </c>
    </row>
    <row r="108" spans="1:16" x14ac:dyDescent="0.25">
      <c r="A108" s="316"/>
      <c r="B108" s="68">
        <v>98</v>
      </c>
      <c r="C108" s="68">
        <v>60110003</v>
      </c>
      <c r="D108" s="68">
        <v>180</v>
      </c>
      <c r="E108" s="91">
        <v>11.75</v>
      </c>
      <c r="F108" s="68">
        <v>95</v>
      </c>
      <c r="G108" s="68">
        <v>100</v>
      </c>
      <c r="H108" s="68">
        <f t="shared" si="8"/>
        <v>55.181249999999999</v>
      </c>
      <c r="I108" s="1">
        <f t="shared" si="9"/>
        <v>39.818750000000001</v>
      </c>
      <c r="J108" s="1">
        <f t="shared" si="10"/>
        <v>-35.873250000000006</v>
      </c>
      <c r="K108" t="str">
        <f t="shared" si="11"/>
        <v>KO</v>
      </c>
      <c r="L108" s="1">
        <f t="shared" si="12"/>
        <v>124.81874999999999</v>
      </c>
      <c r="M108" s="1">
        <f t="shared" si="13"/>
        <v>55.181250000000006</v>
      </c>
      <c r="O108" s="160">
        <f t="shared" si="14"/>
        <v>100</v>
      </c>
      <c r="P108" s="51">
        <f t="shared" si="15"/>
        <v>0.72159927511609467</v>
      </c>
    </row>
    <row r="109" spans="1:16" x14ac:dyDescent="0.25">
      <c r="A109" s="316"/>
      <c r="B109" s="68">
        <v>99</v>
      </c>
      <c r="C109" s="68">
        <v>60110078</v>
      </c>
      <c r="D109" s="68">
        <v>200</v>
      </c>
      <c r="E109" s="91">
        <v>12.25</v>
      </c>
      <c r="F109" s="68">
        <v>100</v>
      </c>
      <c r="G109" s="68">
        <v>100</v>
      </c>
      <c r="H109" s="68">
        <f t="shared" si="8"/>
        <v>55.181249999999999</v>
      </c>
      <c r="I109" s="1">
        <f t="shared" si="9"/>
        <v>44.818750000000001</v>
      </c>
      <c r="J109" s="1">
        <f t="shared" si="10"/>
        <v>-30.873250000000006</v>
      </c>
      <c r="K109" t="str">
        <f t="shared" si="11"/>
        <v>KO</v>
      </c>
      <c r="L109" s="1">
        <f t="shared" si="12"/>
        <v>144.81874999999999</v>
      </c>
      <c r="M109" s="1">
        <f t="shared" si="13"/>
        <v>55.181250000000006</v>
      </c>
      <c r="O109" s="160">
        <f t="shared" si="14"/>
        <v>100</v>
      </c>
      <c r="P109" s="51">
        <f t="shared" si="15"/>
        <v>0.81220976328009964</v>
      </c>
    </row>
    <row r="110" spans="1:16" x14ac:dyDescent="0.25">
      <c r="A110" s="316"/>
      <c r="B110" s="68">
        <v>100</v>
      </c>
      <c r="C110" s="68">
        <v>60110150</v>
      </c>
      <c r="D110" s="68">
        <v>220</v>
      </c>
      <c r="E110" s="91">
        <v>13</v>
      </c>
      <c r="F110" s="68">
        <v>113</v>
      </c>
      <c r="G110" s="68">
        <v>100</v>
      </c>
      <c r="H110" s="68">
        <f t="shared" si="8"/>
        <v>55.181249999999999</v>
      </c>
      <c r="I110" s="1">
        <f t="shared" si="9"/>
        <v>57.818750000000001</v>
      </c>
      <c r="J110" s="1">
        <f t="shared" si="10"/>
        <v>-17.873250000000006</v>
      </c>
      <c r="K110" t="str">
        <f t="shared" si="11"/>
        <v>KO</v>
      </c>
      <c r="L110" s="1">
        <f t="shared" si="12"/>
        <v>164.81874999999999</v>
      </c>
      <c r="M110" s="1">
        <f t="shared" si="13"/>
        <v>55.181250000000006</v>
      </c>
      <c r="O110" s="160">
        <f t="shared" si="14"/>
        <v>100</v>
      </c>
      <c r="P110" s="51">
        <f t="shared" si="15"/>
        <v>1.0477970325065127</v>
      </c>
    </row>
    <row r="111" spans="1:16" x14ac:dyDescent="0.25">
      <c r="A111" s="316"/>
      <c r="B111" s="68">
        <v>101</v>
      </c>
      <c r="C111" s="68">
        <v>60110170</v>
      </c>
      <c r="D111" s="68">
        <v>100</v>
      </c>
      <c r="E111" s="91">
        <v>10.25</v>
      </c>
      <c r="F111" s="68">
        <v>54</v>
      </c>
      <c r="G111" s="68">
        <v>110</v>
      </c>
      <c r="H111" s="68">
        <f t="shared" si="8"/>
        <v>50.164772727272727</v>
      </c>
      <c r="I111" s="1">
        <f t="shared" si="9"/>
        <v>3.8352272727272734</v>
      </c>
      <c r="J111" s="1">
        <f t="shared" si="10"/>
        <v>-71.856772727272727</v>
      </c>
      <c r="K111" t="str">
        <f t="shared" si="11"/>
        <v>KO</v>
      </c>
      <c r="L111" s="1">
        <f t="shared" si="12"/>
        <v>49.835227272727273</v>
      </c>
      <c r="M111" s="1">
        <f t="shared" si="13"/>
        <v>50.164772727272727</v>
      </c>
      <c r="O111" s="160">
        <f t="shared" si="14"/>
        <v>110</v>
      </c>
      <c r="P111" s="51">
        <f t="shared" si="15"/>
        <v>7.6452599388379214E-2</v>
      </c>
    </row>
    <row r="112" spans="1:16" x14ac:dyDescent="0.25">
      <c r="A112" s="316"/>
      <c r="B112" s="68">
        <v>102</v>
      </c>
      <c r="C112" s="68">
        <v>60110060</v>
      </c>
      <c r="D112" s="68">
        <v>120</v>
      </c>
      <c r="E112" s="91">
        <v>10.75</v>
      </c>
      <c r="F112" s="68">
        <v>63</v>
      </c>
      <c r="G112" s="68">
        <v>110</v>
      </c>
      <c r="H112" s="68">
        <f t="shared" si="8"/>
        <v>50.164772727272727</v>
      </c>
      <c r="I112" s="1">
        <f t="shared" si="9"/>
        <v>12.835227272727273</v>
      </c>
      <c r="J112" s="1">
        <f t="shared" si="10"/>
        <v>-62.856772727272734</v>
      </c>
      <c r="K112" t="str">
        <f t="shared" si="11"/>
        <v>KO</v>
      </c>
      <c r="L112" s="1">
        <f t="shared" si="12"/>
        <v>69.83522727272728</v>
      </c>
      <c r="M112" s="1">
        <f t="shared" si="13"/>
        <v>50.16477272727272</v>
      </c>
      <c r="O112" s="160">
        <f t="shared" si="14"/>
        <v>110</v>
      </c>
      <c r="P112" s="51">
        <f t="shared" si="15"/>
        <v>0.2558613659531091</v>
      </c>
    </row>
    <row r="113" spans="1:16" x14ac:dyDescent="0.25">
      <c r="A113" s="316"/>
      <c r="B113" s="68">
        <v>103</v>
      </c>
      <c r="C113" s="68">
        <v>60110039</v>
      </c>
      <c r="D113" s="68">
        <v>140</v>
      </c>
      <c r="E113" s="91">
        <v>11.25</v>
      </c>
      <c r="F113" s="68">
        <v>73</v>
      </c>
      <c r="G113" s="68">
        <v>110</v>
      </c>
      <c r="H113" s="68">
        <f t="shared" si="8"/>
        <v>50.164772727272727</v>
      </c>
      <c r="I113" s="1">
        <f t="shared" si="9"/>
        <v>22.835227272727273</v>
      </c>
      <c r="J113" s="1">
        <f t="shared" si="10"/>
        <v>-52.856772727272734</v>
      </c>
      <c r="K113" t="str">
        <f t="shared" si="11"/>
        <v>KO</v>
      </c>
      <c r="L113" s="1">
        <f t="shared" si="12"/>
        <v>89.83522727272728</v>
      </c>
      <c r="M113" s="1">
        <f t="shared" si="13"/>
        <v>50.16477272727272</v>
      </c>
      <c r="O113" s="160">
        <f t="shared" si="14"/>
        <v>110</v>
      </c>
      <c r="P113" s="51">
        <f t="shared" si="15"/>
        <v>0.45520443991392001</v>
      </c>
    </row>
    <row r="114" spans="1:16" x14ac:dyDescent="0.25">
      <c r="A114" s="316"/>
      <c r="B114" s="68">
        <v>104</v>
      </c>
      <c r="C114" s="68">
        <v>60110050</v>
      </c>
      <c r="D114" s="68">
        <v>170</v>
      </c>
      <c r="E114" s="91">
        <v>12</v>
      </c>
      <c r="F114" s="68">
        <v>86</v>
      </c>
      <c r="G114" s="68">
        <v>110</v>
      </c>
      <c r="H114" s="68">
        <f t="shared" si="8"/>
        <v>50.164772727272727</v>
      </c>
      <c r="I114" s="1">
        <f t="shared" si="9"/>
        <v>35.835227272727273</v>
      </c>
      <c r="J114" s="1">
        <f t="shared" si="10"/>
        <v>-39.856772727272734</v>
      </c>
      <c r="K114" t="str">
        <f t="shared" si="11"/>
        <v>KO</v>
      </c>
      <c r="L114" s="1">
        <f t="shared" si="12"/>
        <v>119.83522727272728</v>
      </c>
      <c r="M114" s="1">
        <f t="shared" si="13"/>
        <v>50.16477272727272</v>
      </c>
      <c r="O114" s="160">
        <f t="shared" si="14"/>
        <v>110</v>
      </c>
      <c r="P114" s="51">
        <f t="shared" si="15"/>
        <v>0.71435043606297433</v>
      </c>
    </row>
    <row r="115" spans="1:16" x14ac:dyDescent="0.25">
      <c r="A115" s="316"/>
      <c r="B115" s="68">
        <v>105</v>
      </c>
      <c r="C115" s="68">
        <v>60110171</v>
      </c>
      <c r="D115" s="68">
        <v>100</v>
      </c>
      <c r="E115" s="91">
        <v>10.5</v>
      </c>
      <c r="F115" s="68">
        <v>53</v>
      </c>
      <c r="G115" s="68">
        <v>120</v>
      </c>
      <c r="H115" s="68">
        <f t="shared" si="8"/>
        <v>45.984375</v>
      </c>
      <c r="I115" s="1">
        <f t="shared" si="9"/>
        <v>7.015625</v>
      </c>
      <c r="J115" s="1">
        <f t="shared" si="10"/>
        <v>-68.676375000000007</v>
      </c>
      <c r="K115" t="str">
        <f t="shared" si="11"/>
        <v>KO</v>
      </c>
      <c r="L115" s="1">
        <f t="shared" si="12"/>
        <v>54.015625</v>
      </c>
      <c r="M115" s="1">
        <f t="shared" si="13"/>
        <v>45.984375</v>
      </c>
      <c r="O115" s="160">
        <f t="shared" si="14"/>
        <v>120</v>
      </c>
      <c r="P115" s="51">
        <f t="shared" si="15"/>
        <v>0.15256540944614339</v>
      </c>
    </row>
    <row r="116" spans="1:16" x14ac:dyDescent="0.25">
      <c r="A116" s="316"/>
      <c r="B116" s="68">
        <v>106</v>
      </c>
      <c r="C116" s="68">
        <v>60110034</v>
      </c>
      <c r="D116" s="68">
        <v>120</v>
      </c>
      <c r="E116" s="91">
        <v>11</v>
      </c>
      <c r="F116" s="68">
        <v>62</v>
      </c>
      <c r="G116" s="68">
        <v>120</v>
      </c>
      <c r="H116" s="68">
        <f t="shared" si="8"/>
        <v>45.984375</v>
      </c>
      <c r="I116" s="1">
        <f t="shared" si="9"/>
        <v>16.015625</v>
      </c>
      <c r="J116" s="1">
        <f t="shared" si="10"/>
        <v>-59.676375000000007</v>
      </c>
      <c r="K116" t="str">
        <f t="shared" si="11"/>
        <v>KO</v>
      </c>
      <c r="L116" s="1">
        <f t="shared" si="12"/>
        <v>74.015625</v>
      </c>
      <c r="M116" s="1">
        <f t="shared" si="13"/>
        <v>45.984375</v>
      </c>
      <c r="O116" s="160">
        <f t="shared" si="14"/>
        <v>120</v>
      </c>
      <c r="P116" s="51">
        <f t="shared" si="15"/>
        <v>0.34828406388039418</v>
      </c>
    </row>
    <row r="117" spans="1:16" x14ac:dyDescent="0.25">
      <c r="A117" s="316"/>
      <c r="B117" s="68">
        <v>107</v>
      </c>
      <c r="C117" s="68">
        <v>60110040</v>
      </c>
      <c r="D117" s="68">
        <v>140</v>
      </c>
      <c r="E117" s="91">
        <v>11.5</v>
      </c>
      <c r="F117" s="68">
        <v>73</v>
      </c>
      <c r="G117" s="68">
        <v>120</v>
      </c>
      <c r="H117" s="68">
        <f t="shared" si="8"/>
        <v>45.984375</v>
      </c>
      <c r="I117" s="1">
        <f t="shared" si="9"/>
        <v>27.015625</v>
      </c>
      <c r="J117" s="1">
        <f t="shared" si="10"/>
        <v>-48.676375000000007</v>
      </c>
      <c r="K117" t="str">
        <f t="shared" si="11"/>
        <v>KO</v>
      </c>
      <c r="L117" s="1">
        <f t="shared" si="12"/>
        <v>94.015625</v>
      </c>
      <c r="M117" s="1">
        <f t="shared" si="13"/>
        <v>45.984375</v>
      </c>
      <c r="O117" s="160">
        <f t="shared" si="14"/>
        <v>120</v>
      </c>
      <c r="P117" s="51">
        <f t="shared" si="15"/>
        <v>0.58749575263336729</v>
      </c>
    </row>
    <row r="118" spans="1:16" x14ac:dyDescent="0.25">
      <c r="A118" s="316"/>
      <c r="B118" s="68">
        <v>108</v>
      </c>
      <c r="C118" s="68">
        <v>60110083</v>
      </c>
      <c r="D118" s="68">
        <v>170</v>
      </c>
      <c r="E118" s="91">
        <v>12.25</v>
      </c>
      <c r="F118" s="68">
        <v>85</v>
      </c>
      <c r="G118" s="68">
        <v>120</v>
      </c>
      <c r="H118" s="68">
        <f t="shared" si="8"/>
        <v>45.984375</v>
      </c>
      <c r="I118" s="1">
        <f t="shared" si="9"/>
        <v>39.015625</v>
      </c>
      <c r="J118" s="1">
        <f t="shared" si="10"/>
        <v>-36.676375000000007</v>
      </c>
      <c r="K118" t="str">
        <f t="shared" si="11"/>
        <v>KO</v>
      </c>
      <c r="L118" s="1">
        <f t="shared" si="12"/>
        <v>124.015625</v>
      </c>
      <c r="M118" s="1">
        <f t="shared" si="13"/>
        <v>45.984375</v>
      </c>
      <c r="O118" s="160">
        <f t="shared" si="14"/>
        <v>120</v>
      </c>
      <c r="P118" s="51">
        <f t="shared" si="15"/>
        <v>0.84845395854570171</v>
      </c>
    </row>
    <row r="119" spans="1:16" x14ac:dyDescent="0.25">
      <c r="A119" s="316"/>
      <c r="B119" s="68">
        <v>109</v>
      </c>
      <c r="C119" s="68">
        <v>60110149</v>
      </c>
      <c r="D119" s="68">
        <v>200</v>
      </c>
      <c r="E119" s="91">
        <v>13.25</v>
      </c>
      <c r="F119" s="68">
        <v>93</v>
      </c>
      <c r="G119" s="68">
        <v>120</v>
      </c>
      <c r="H119" s="68">
        <f t="shared" si="8"/>
        <v>45.984375</v>
      </c>
      <c r="I119" s="1">
        <f t="shared" si="9"/>
        <v>47.015625</v>
      </c>
      <c r="J119" s="1">
        <f t="shared" si="10"/>
        <v>-28.676375000000007</v>
      </c>
      <c r="K119" t="str">
        <f t="shared" si="11"/>
        <v>KO</v>
      </c>
      <c r="L119" s="1">
        <f t="shared" si="12"/>
        <v>154.015625</v>
      </c>
      <c r="M119" s="1">
        <f t="shared" si="13"/>
        <v>45.984375</v>
      </c>
      <c r="O119" s="160">
        <f t="shared" si="14"/>
        <v>120</v>
      </c>
      <c r="P119" s="51">
        <f t="shared" si="15"/>
        <v>1.0224260958205913</v>
      </c>
    </row>
    <row r="120" spans="1:16" x14ac:dyDescent="0.25">
      <c r="A120" s="316"/>
      <c r="B120" s="68">
        <v>110</v>
      </c>
      <c r="C120" s="68">
        <v>60110151</v>
      </c>
      <c r="D120" s="68">
        <v>220</v>
      </c>
      <c r="E120" s="91">
        <v>13.5</v>
      </c>
      <c r="F120" s="68">
        <v>105</v>
      </c>
      <c r="G120" s="68">
        <v>120</v>
      </c>
      <c r="H120" s="68">
        <f t="shared" si="8"/>
        <v>45.984375</v>
      </c>
      <c r="I120" s="1">
        <f t="shared" si="9"/>
        <v>59.015625</v>
      </c>
      <c r="J120" s="1">
        <f t="shared" si="10"/>
        <v>-16.676375000000007</v>
      </c>
      <c r="K120" t="str">
        <f t="shared" si="11"/>
        <v>KO</v>
      </c>
      <c r="L120" s="1">
        <f t="shared" si="12"/>
        <v>174.015625</v>
      </c>
      <c r="M120" s="1">
        <f t="shared" si="13"/>
        <v>45.984375</v>
      </c>
      <c r="O120" s="160">
        <f t="shared" si="14"/>
        <v>120</v>
      </c>
      <c r="P120" s="51">
        <f t="shared" si="15"/>
        <v>1.2833843017329256</v>
      </c>
    </row>
    <row r="121" spans="1:16" x14ac:dyDescent="0.25">
      <c r="A121" s="316"/>
      <c r="B121" s="68">
        <v>111</v>
      </c>
      <c r="C121" s="68">
        <v>60110041</v>
      </c>
      <c r="D121" s="68">
        <v>140</v>
      </c>
      <c r="E121" s="91">
        <v>11.75</v>
      </c>
      <c r="F121" s="68">
        <v>71</v>
      </c>
      <c r="G121" s="68">
        <v>130</v>
      </c>
      <c r="H121" s="68">
        <f t="shared" si="8"/>
        <v>42.447115384615387</v>
      </c>
      <c r="I121" s="1">
        <f t="shared" si="9"/>
        <v>28.552884615384613</v>
      </c>
      <c r="J121" s="1">
        <f t="shared" si="10"/>
        <v>-47.139115384615394</v>
      </c>
      <c r="K121" t="str">
        <f t="shared" si="11"/>
        <v>KO</v>
      </c>
      <c r="L121" s="1">
        <f t="shared" si="12"/>
        <v>97.552884615384613</v>
      </c>
      <c r="M121" s="1">
        <f t="shared" si="13"/>
        <v>42.447115384615387</v>
      </c>
      <c r="O121" s="160">
        <f t="shared" si="14"/>
        <v>130</v>
      </c>
      <c r="P121" s="51">
        <f t="shared" si="15"/>
        <v>0.67266961150753191</v>
      </c>
    </row>
    <row r="122" spans="1:16" x14ac:dyDescent="0.25">
      <c r="A122" s="316"/>
      <c r="B122" s="68">
        <v>112</v>
      </c>
      <c r="C122" s="68">
        <v>60110115</v>
      </c>
      <c r="D122" s="68">
        <v>170</v>
      </c>
      <c r="E122" s="91">
        <v>12.5</v>
      </c>
      <c r="F122" s="68">
        <v>88</v>
      </c>
      <c r="G122" s="68">
        <v>130</v>
      </c>
      <c r="H122" s="68">
        <f t="shared" si="8"/>
        <v>42.447115384615387</v>
      </c>
      <c r="I122" s="1">
        <f t="shared" si="9"/>
        <v>45.552884615384613</v>
      </c>
      <c r="J122" s="1">
        <f t="shared" si="10"/>
        <v>-30.139115384615394</v>
      </c>
      <c r="K122" t="str">
        <f t="shared" si="11"/>
        <v>KO</v>
      </c>
      <c r="L122" s="1">
        <f t="shared" si="12"/>
        <v>127.55288461538461</v>
      </c>
      <c r="M122" s="1">
        <f t="shared" si="13"/>
        <v>42.447115384615387</v>
      </c>
      <c r="O122" s="160">
        <f t="shared" si="14"/>
        <v>130</v>
      </c>
      <c r="P122" s="51">
        <f t="shared" si="15"/>
        <v>1.0731679691924341</v>
      </c>
    </row>
    <row r="123" spans="1:16" x14ac:dyDescent="0.25">
      <c r="A123" s="316"/>
      <c r="B123" s="68">
        <v>113</v>
      </c>
      <c r="C123" s="68">
        <v>60110029</v>
      </c>
      <c r="D123" s="68">
        <v>100</v>
      </c>
      <c r="E123" s="91">
        <v>10.75</v>
      </c>
      <c r="F123" s="68">
        <v>52</v>
      </c>
      <c r="G123" s="68">
        <v>140</v>
      </c>
      <c r="H123" s="68">
        <f t="shared" si="8"/>
        <v>39.415178571428569</v>
      </c>
      <c r="I123" s="1">
        <f t="shared" si="9"/>
        <v>12.584821428571431</v>
      </c>
      <c r="J123" s="1">
        <f t="shared" si="10"/>
        <v>-63.107178571428577</v>
      </c>
      <c r="K123" t="str">
        <f t="shared" si="11"/>
        <v>KO</v>
      </c>
      <c r="L123" s="1">
        <f t="shared" si="12"/>
        <v>60.584821428571431</v>
      </c>
      <c r="M123" s="1">
        <f t="shared" si="13"/>
        <v>39.415178571428569</v>
      </c>
      <c r="O123" s="160">
        <f t="shared" si="14"/>
        <v>140</v>
      </c>
      <c r="P123" s="51">
        <f t="shared" si="15"/>
        <v>0.31928870766791262</v>
      </c>
    </row>
    <row r="124" spans="1:16" x14ac:dyDescent="0.25">
      <c r="A124" s="316"/>
      <c r="B124" s="68">
        <v>114</v>
      </c>
      <c r="C124" s="68">
        <v>60110035</v>
      </c>
      <c r="D124" s="68">
        <v>120</v>
      </c>
      <c r="E124" s="91">
        <v>11.5</v>
      </c>
      <c r="F124" s="68">
        <v>60</v>
      </c>
      <c r="G124" s="68">
        <v>140</v>
      </c>
      <c r="H124" s="68">
        <f t="shared" si="8"/>
        <v>39.415178571428569</v>
      </c>
      <c r="I124" s="1">
        <f t="shared" si="9"/>
        <v>20.584821428571431</v>
      </c>
      <c r="J124" s="1">
        <f t="shared" si="10"/>
        <v>-55.107178571428577</v>
      </c>
      <c r="K124" t="str">
        <f t="shared" si="11"/>
        <v>KO</v>
      </c>
      <c r="L124" s="1">
        <f t="shared" si="12"/>
        <v>80.584821428571431</v>
      </c>
      <c r="M124" s="1">
        <f t="shared" si="13"/>
        <v>39.415178571428569</v>
      </c>
      <c r="O124" s="160">
        <f t="shared" si="14"/>
        <v>140</v>
      </c>
      <c r="P124" s="51">
        <f t="shared" si="15"/>
        <v>0.52225620115528382</v>
      </c>
    </row>
    <row r="125" spans="1:16" x14ac:dyDescent="0.25">
      <c r="A125" s="316"/>
      <c r="B125" s="68">
        <v>115</v>
      </c>
      <c r="C125" s="68">
        <v>60110042</v>
      </c>
      <c r="D125" s="68">
        <v>140</v>
      </c>
      <c r="E125" s="91">
        <v>12</v>
      </c>
      <c r="F125" s="68">
        <v>70</v>
      </c>
      <c r="G125" s="68">
        <v>140</v>
      </c>
      <c r="H125" s="68">
        <f t="shared" si="8"/>
        <v>39.415178571428569</v>
      </c>
      <c r="I125" s="1">
        <f t="shared" si="9"/>
        <v>30.584821428571431</v>
      </c>
      <c r="J125" s="1">
        <f t="shared" si="10"/>
        <v>-45.107178571428577</v>
      </c>
      <c r="K125" t="str">
        <f t="shared" si="11"/>
        <v>KO</v>
      </c>
      <c r="L125" s="1">
        <f t="shared" si="12"/>
        <v>100.58482142857143</v>
      </c>
      <c r="M125" s="1">
        <f t="shared" si="13"/>
        <v>39.415178571428569</v>
      </c>
      <c r="O125" s="160">
        <f t="shared" si="14"/>
        <v>140</v>
      </c>
      <c r="P125" s="51">
        <f t="shared" si="15"/>
        <v>0.77596556801449768</v>
      </c>
    </row>
    <row r="126" spans="1:16" x14ac:dyDescent="0.25">
      <c r="A126" s="316"/>
      <c r="B126" s="68">
        <v>116</v>
      </c>
      <c r="C126" s="68">
        <v>60110145</v>
      </c>
      <c r="D126" s="68">
        <v>200</v>
      </c>
      <c r="E126" s="91">
        <v>13.75</v>
      </c>
      <c r="F126" s="68">
        <v>92</v>
      </c>
      <c r="G126" s="68">
        <v>140</v>
      </c>
      <c r="H126" s="68">
        <f t="shared" si="8"/>
        <v>39.415178571428569</v>
      </c>
      <c r="I126" s="1">
        <f t="shared" si="9"/>
        <v>52.584821428571431</v>
      </c>
      <c r="J126" s="1">
        <f t="shared" si="10"/>
        <v>-23.107178571428577</v>
      </c>
      <c r="K126" t="str">
        <f t="shared" si="11"/>
        <v>KO</v>
      </c>
      <c r="L126" s="1">
        <f t="shared" si="12"/>
        <v>160.58482142857144</v>
      </c>
      <c r="M126" s="1">
        <f t="shared" si="13"/>
        <v>39.415178571428555</v>
      </c>
      <c r="O126" s="160">
        <f t="shared" si="14"/>
        <v>140</v>
      </c>
      <c r="P126" s="51">
        <f t="shared" si="15"/>
        <v>1.3341261751047684</v>
      </c>
    </row>
    <row r="127" spans="1:16" x14ac:dyDescent="0.25">
      <c r="A127" s="316"/>
      <c r="B127" s="68">
        <v>117</v>
      </c>
      <c r="C127" s="68">
        <v>60110043</v>
      </c>
      <c r="D127" s="68">
        <v>140</v>
      </c>
      <c r="E127" s="91">
        <v>12.25</v>
      </c>
      <c r="F127" s="68">
        <v>68</v>
      </c>
      <c r="G127" s="68">
        <v>150</v>
      </c>
      <c r="H127" s="68">
        <f t="shared" si="8"/>
        <v>36.787500000000001</v>
      </c>
      <c r="I127" s="1">
        <f t="shared" si="9"/>
        <v>31.212499999999999</v>
      </c>
      <c r="J127" s="1">
        <f t="shared" si="10"/>
        <v>-44.479500000000009</v>
      </c>
      <c r="K127" t="str">
        <f t="shared" si="11"/>
        <v>KO</v>
      </c>
      <c r="L127" s="1">
        <f t="shared" si="12"/>
        <v>103.21250000000001</v>
      </c>
      <c r="M127" s="1">
        <f t="shared" si="13"/>
        <v>36.787499999999994</v>
      </c>
      <c r="O127" s="160">
        <f t="shared" si="14"/>
        <v>150</v>
      </c>
      <c r="P127" s="51">
        <f t="shared" si="15"/>
        <v>0.84845395854570171</v>
      </c>
    </row>
    <row r="128" spans="1:16" x14ac:dyDescent="0.25">
      <c r="A128" s="316"/>
      <c r="B128" s="68">
        <v>118</v>
      </c>
      <c r="C128" s="68">
        <v>60110116</v>
      </c>
      <c r="D128" s="68">
        <v>170</v>
      </c>
      <c r="E128" s="91">
        <v>13</v>
      </c>
      <c r="F128" s="68">
        <v>85</v>
      </c>
      <c r="G128" s="68">
        <v>150</v>
      </c>
      <c r="H128" s="68">
        <f t="shared" si="8"/>
        <v>36.787500000000001</v>
      </c>
      <c r="I128" s="1">
        <f t="shared" si="9"/>
        <v>48.212499999999999</v>
      </c>
      <c r="J128" s="1">
        <f t="shared" si="10"/>
        <v>-27.479500000000009</v>
      </c>
      <c r="K128" t="str">
        <f t="shared" si="11"/>
        <v>KO</v>
      </c>
      <c r="L128" s="1">
        <f t="shared" si="12"/>
        <v>133.21250000000001</v>
      </c>
      <c r="M128" s="1">
        <f t="shared" si="13"/>
        <v>36.787499999999994</v>
      </c>
      <c r="O128" s="160">
        <f t="shared" si="14"/>
        <v>150</v>
      </c>
      <c r="P128" s="51">
        <f t="shared" si="15"/>
        <v>1.310567448182127</v>
      </c>
    </row>
    <row r="129" spans="1:19" x14ac:dyDescent="0.25">
      <c r="A129" s="316"/>
      <c r="B129" s="68">
        <v>119</v>
      </c>
      <c r="C129" s="68">
        <v>60110030</v>
      </c>
      <c r="D129" s="68">
        <v>100</v>
      </c>
      <c r="E129" s="91">
        <v>11.25</v>
      </c>
      <c r="F129" s="68">
        <v>49</v>
      </c>
      <c r="G129" s="68">
        <v>160</v>
      </c>
      <c r="H129" s="68">
        <f t="shared" si="8"/>
        <v>34.48828125</v>
      </c>
      <c r="I129" s="1">
        <f t="shared" si="9"/>
        <v>14.51171875</v>
      </c>
      <c r="J129" s="1">
        <f t="shared" si="10"/>
        <v>-61.180281250000007</v>
      </c>
      <c r="K129" t="str">
        <f t="shared" si="11"/>
        <v>KO</v>
      </c>
      <c r="L129" s="1">
        <f t="shared" si="12"/>
        <v>65.51171875</v>
      </c>
      <c r="M129" s="1">
        <f t="shared" si="13"/>
        <v>34.48828125</v>
      </c>
      <c r="O129" s="160">
        <f t="shared" si="14"/>
        <v>160</v>
      </c>
      <c r="P129" s="51">
        <f t="shared" si="15"/>
        <v>0.42077245441159816</v>
      </c>
    </row>
    <row r="130" spans="1:19" x14ac:dyDescent="0.25">
      <c r="A130" s="316"/>
      <c r="B130" s="68">
        <v>120</v>
      </c>
      <c r="C130" s="68">
        <v>60110036</v>
      </c>
      <c r="D130" s="68">
        <v>120</v>
      </c>
      <c r="E130" s="91">
        <v>12</v>
      </c>
      <c r="F130" s="68">
        <v>56</v>
      </c>
      <c r="G130" s="68">
        <v>160</v>
      </c>
      <c r="H130" s="68">
        <f t="shared" si="8"/>
        <v>34.48828125</v>
      </c>
      <c r="I130" s="1">
        <f t="shared" si="9"/>
        <v>21.51171875</v>
      </c>
      <c r="J130" s="1">
        <f t="shared" si="10"/>
        <v>-54.180281250000007</v>
      </c>
      <c r="K130" t="str">
        <f t="shared" si="11"/>
        <v>KO</v>
      </c>
      <c r="L130" s="1">
        <f t="shared" si="12"/>
        <v>85.51171875</v>
      </c>
      <c r="M130" s="1">
        <f t="shared" si="13"/>
        <v>34.48828125</v>
      </c>
      <c r="O130" s="160">
        <f t="shared" si="14"/>
        <v>160</v>
      </c>
      <c r="P130" s="51">
        <f t="shared" si="15"/>
        <v>0.62373994789896936</v>
      </c>
    </row>
    <row r="131" spans="1:19" x14ac:dyDescent="0.25">
      <c r="A131" s="316"/>
      <c r="B131" s="68">
        <v>121</v>
      </c>
      <c r="C131" s="68">
        <v>60110065</v>
      </c>
      <c r="D131" s="68">
        <v>140</v>
      </c>
      <c r="E131" s="91">
        <v>12.5</v>
      </c>
      <c r="F131" s="68">
        <v>67</v>
      </c>
      <c r="G131" s="68">
        <v>160</v>
      </c>
      <c r="H131" s="68">
        <f t="shared" si="8"/>
        <v>34.48828125</v>
      </c>
      <c r="I131" s="1">
        <f t="shared" si="9"/>
        <v>32.51171875</v>
      </c>
      <c r="J131" s="1">
        <f t="shared" si="10"/>
        <v>-43.180281250000007</v>
      </c>
      <c r="K131" t="str">
        <f t="shared" si="11"/>
        <v>KO</v>
      </c>
      <c r="L131" s="1">
        <f t="shared" si="12"/>
        <v>105.51171875</v>
      </c>
      <c r="M131" s="1">
        <f t="shared" si="13"/>
        <v>34.48828125</v>
      </c>
      <c r="O131" s="160">
        <f t="shared" si="14"/>
        <v>160</v>
      </c>
      <c r="P131" s="51">
        <f t="shared" si="15"/>
        <v>0.9426888662362668</v>
      </c>
    </row>
    <row r="132" spans="1:19" x14ac:dyDescent="0.25">
      <c r="A132" s="316"/>
      <c r="B132" s="68">
        <v>122</v>
      </c>
      <c r="C132" s="68">
        <v>60110044</v>
      </c>
      <c r="D132" s="68">
        <v>140</v>
      </c>
      <c r="E132" s="91">
        <v>12.75</v>
      </c>
      <c r="F132" s="68">
        <v>65</v>
      </c>
      <c r="G132" s="68">
        <v>170</v>
      </c>
      <c r="H132" s="68">
        <f t="shared" si="8"/>
        <v>32.459558823529413</v>
      </c>
      <c r="I132" s="1">
        <f t="shared" si="9"/>
        <v>32.540441176470587</v>
      </c>
      <c r="J132" s="1">
        <f t="shared" si="10"/>
        <v>-43.15155882352942</v>
      </c>
      <c r="K132" t="str">
        <f t="shared" si="11"/>
        <v>KO</v>
      </c>
      <c r="L132" s="1">
        <f t="shared" si="12"/>
        <v>107.54044117647058</v>
      </c>
      <c r="M132" s="1">
        <f t="shared" si="13"/>
        <v>32.45955882352942</v>
      </c>
      <c r="O132" s="160">
        <f t="shared" si="14"/>
        <v>170</v>
      </c>
      <c r="P132" s="51">
        <f t="shared" si="15"/>
        <v>1.0024917884245101</v>
      </c>
    </row>
    <row r="133" spans="1:19" x14ac:dyDescent="0.25">
      <c r="A133" s="316"/>
      <c r="B133" s="68">
        <v>123</v>
      </c>
      <c r="C133" s="68">
        <v>60110114</v>
      </c>
      <c r="D133" s="68">
        <v>170</v>
      </c>
      <c r="E133" s="91">
        <v>13.5</v>
      </c>
      <c r="F133" s="68">
        <v>82</v>
      </c>
      <c r="G133" s="68">
        <v>170</v>
      </c>
      <c r="H133" s="68">
        <f t="shared" si="8"/>
        <v>32.459558823529413</v>
      </c>
      <c r="I133" s="1">
        <f t="shared" si="9"/>
        <v>49.540441176470587</v>
      </c>
      <c r="J133" s="1">
        <f t="shared" si="10"/>
        <v>-26.15155882352942</v>
      </c>
      <c r="K133" t="str">
        <f t="shared" si="11"/>
        <v>KO</v>
      </c>
      <c r="L133" s="1">
        <f t="shared" si="12"/>
        <v>137.54044117647058</v>
      </c>
      <c r="M133" s="1">
        <f t="shared" si="13"/>
        <v>32.45955882352942</v>
      </c>
      <c r="O133" s="160">
        <f t="shared" si="14"/>
        <v>170</v>
      </c>
      <c r="P133" s="51">
        <f t="shared" si="15"/>
        <v>1.526220410012459</v>
      </c>
    </row>
    <row r="134" spans="1:19" x14ac:dyDescent="0.25">
      <c r="A134" s="316"/>
      <c r="B134" s="68">
        <v>124</v>
      </c>
      <c r="C134" s="68">
        <v>60110031</v>
      </c>
      <c r="D134" s="68">
        <v>100</v>
      </c>
      <c r="E134" s="91">
        <v>11.5</v>
      </c>
      <c r="F134" s="68">
        <v>49</v>
      </c>
      <c r="G134" s="68">
        <v>180</v>
      </c>
      <c r="H134" s="68">
        <f t="shared" si="8"/>
        <v>30.65625</v>
      </c>
      <c r="I134" s="1">
        <f t="shared" si="9"/>
        <v>18.34375</v>
      </c>
      <c r="J134" s="1">
        <f t="shared" si="10"/>
        <v>-57.348250000000007</v>
      </c>
      <c r="K134" t="str">
        <f t="shared" si="11"/>
        <v>KO</v>
      </c>
      <c r="L134" s="1">
        <f t="shared" si="12"/>
        <v>69.34375</v>
      </c>
      <c r="M134" s="1">
        <f t="shared" si="13"/>
        <v>30.65625</v>
      </c>
      <c r="O134" s="160">
        <f t="shared" si="14"/>
        <v>180</v>
      </c>
      <c r="P134" s="51">
        <f t="shared" si="15"/>
        <v>0.59836901121304786</v>
      </c>
    </row>
    <row r="135" spans="1:19" x14ac:dyDescent="0.25">
      <c r="A135" s="316"/>
      <c r="B135" s="68">
        <v>125</v>
      </c>
      <c r="C135" s="68">
        <v>60110037</v>
      </c>
      <c r="D135" s="68">
        <v>120</v>
      </c>
      <c r="E135" s="91">
        <v>12.25</v>
      </c>
      <c r="F135" s="68">
        <v>57</v>
      </c>
      <c r="G135" s="68">
        <v>180</v>
      </c>
      <c r="H135" s="68">
        <f t="shared" si="8"/>
        <v>30.65625</v>
      </c>
      <c r="I135" s="1">
        <f t="shared" si="9"/>
        <v>26.34375</v>
      </c>
      <c r="J135" s="1">
        <f t="shared" si="10"/>
        <v>-49.348250000000007</v>
      </c>
      <c r="K135" t="str">
        <f t="shared" si="11"/>
        <v>KO</v>
      </c>
      <c r="L135" s="1">
        <f t="shared" si="12"/>
        <v>89.34375</v>
      </c>
      <c r="M135" s="1">
        <f t="shared" si="13"/>
        <v>30.65625</v>
      </c>
      <c r="O135" s="160">
        <f t="shared" si="14"/>
        <v>180</v>
      </c>
      <c r="P135" s="51">
        <f t="shared" si="15"/>
        <v>0.85932721712538229</v>
      </c>
      <c r="S135" t="s">
        <v>40</v>
      </c>
    </row>
    <row r="136" spans="1:19" x14ac:dyDescent="0.25">
      <c r="A136" s="316"/>
      <c r="B136" s="68">
        <v>126</v>
      </c>
      <c r="C136" s="68">
        <v>60110066</v>
      </c>
      <c r="D136" s="68">
        <v>140</v>
      </c>
      <c r="E136" s="91">
        <v>12.75</v>
      </c>
      <c r="F136" s="68">
        <v>68</v>
      </c>
      <c r="G136" s="68">
        <v>180</v>
      </c>
      <c r="H136" s="68">
        <f t="shared" si="8"/>
        <v>30.65625</v>
      </c>
      <c r="I136" s="1">
        <f t="shared" si="9"/>
        <v>37.34375</v>
      </c>
      <c r="J136" s="1">
        <f t="shared" si="10"/>
        <v>-38.348250000000007</v>
      </c>
      <c r="K136" t="str">
        <f t="shared" si="11"/>
        <v>KO</v>
      </c>
      <c r="L136" s="1">
        <f t="shared" si="12"/>
        <v>109.34375</v>
      </c>
      <c r="M136" s="1">
        <f t="shared" si="13"/>
        <v>30.65625</v>
      </c>
      <c r="O136" s="160">
        <f t="shared" si="14"/>
        <v>180</v>
      </c>
      <c r="P136" s="51">
        <f t="shared" si="15"/>
        <v>1.2181447502548419</v>
      </c>
    </row>
    <row r="137" spans="1:19" x14ac:dyDescent="0.25">
      <c r="A137" s="316"/>
      <c r="B137" s="68">
        <v>127</v>
      </c>
      <c r="C137" s="68">
        <v>60110045</v>
      </c>
      <c r="D137" s="68">
        <v>140</v>
      </c>
      <c r="E137" s="91">
        <v>13</v>
      </c>
      <c r="F137" s="68">
        <v>66</v>
      </c>
      <c r="G137" s="68">
        <v>190</v>
      </c>
      <c r="H137" s="68">
        <f t="shared" si="8"/>
        <v>29.042763157894736</v>
      </c>
      <c r="I137" s="1">
        <f t="shared" si="9"/>
        <v>36.95723684210526</v>
      </c>
      <c r="J137" s="1">
        <f t="shared" si="10"/>
        <v>-38.734763157894747</v>
      </c>
      <c r="K137" t="str">
        <f t="shared" si="11"/>
        <v>KO</v>
      </c>
      <c r="L137" s="1">
        <f t="shared" si="12"/>
        <v>110.95723684210526</v>
      </c>
      <c r="M137" s="1">
        <f t="shared" si="13"/>
        <v>29.04276315789474</v>
      </c>
      <c r="O137" s="160">
        <f t="shared" si="14"/>
        <v>190</v>
      </c>
      <c r="P137" s="51">
        <f t="shared" si="15"/>
        <v>1.2725110431532449</v>
      </c>
    </row>
    <row r="138" spans="1:19" x14ac:dyDescent="0.25">
      <c r="A138" s="316"/>
      <c r="B138" s="68">
        <v>128</v>
      </c>
      <c r="C138" s="68">
        <v>60110117</v>
      </c>
      <c r="D138" s="68">
        <v>170</v>
      </c>
      <c r="E138" s="91">
        <v>14</v>
      </c>
      <c r="F138" s="68">
        <v>78</v>
      </c>
      <c r="G138" s="68">
        <v>190</v>
      </c>
      <c r="H138" s="68">
        <f t="shared" si="8"/>
        <v>29.042763157894736</v>
      </c>
      <c r="I138" s="1">
        <f t="shared" si="9"/>
        <v>48.95723684210526</v>
      </c>
      <c r="J138" s="1">
        <f t="shared" si="10"/>
        <v>-26.734763157894747</v>
      </c>
      <c r="K138" t="str">
        <f t="shared" si="11"/>
        <v>KO</v>
      </c>
      <c r="L138" s="1">
        <f t="shared" si="12"/>
        <v>140.95723684210526</v>
      </c>
      <c r="M138" s="1">
        <f t="shared" si="13"/>
        <v>29.04276315789474</v>
      </c>
      <c r="O138" s="160">
        <f t="shared" si="14"/>
        <v>190</v>
      </c>
      <c r="P138" s="51">
        <f t="shared" si="15"/>
        <v>1.6856948691811078</v>
      </c>
    </row>
    <row r="139" spans="1:19" x14ac:dyDescent="0.25">
      <c r="A139" s="316"/>
      <c r="B139" s="68">
        <v>129</v>
      </c>
      <c r="C139" s="68">
        <v>60110032</v>
      </c>
      <c r="D139" s="68">
        <v>100</v>
      </c>
      <c r="E139" s="91">
        <v>12</v>
      </c>
      <c r="F139" s="68">
        <v>46</v>
      </c>
      <c r="G139" s="68">
        <v>200</v>
      </c>
      <c r="H139" s="68">
        <f t="shared" ref="H139:H166" si="16">$B$2/2*9.81*$B$3/G139</f>
        <v>27.590624999999999</v>
      </c>
      <c r="I139" s="1">
        <f t="shared" si="9"/>
        <v>18.409375000000001</v>
      </c>
      <c r="J139" s="1">
        <f t="shared" si="10"/>
        <v>-57.28262500000001</v>
      </c>
      <c r="K139" t="str">
        <f t="shared" si="11"/>
        <v>KO</v>
      </c>
      <c r="L139" s="1">
        <f t="shared" si="12"/>
        <v>72.409374999999997</v>
      </c>
      <c r="M139" s="1">
        <f t="shared" si="13"/>
        <v>27.590625000000003</v>
      </c>
      <c r="O139" s="160">
        <f t="shared" si="14"/>
        <v>200</v>
      </c>
      <c r="P139" s="51">
        <f t="shared" si="15"/>
        <v>0.66723298221769167</v>
      </c>
    </row>
    <row r="140" spans="1:19" x14ac:dyDescent="0.25">
      <c r="A140" s="316"/>
      <c r="B140" s="68">
        <v>130</v>
      </c>
      <c r="C140" s="68">
        <v>60110038</v>
      </c>
      <c r="D140" s="68">
        <v>120</v>
      </c>
      <c r="E140" s="91">
        <v>12.75</v>
      </c>
      <c r="F140" s="68">
        <v>53</v>
      </c>
      <c r="G140" s="68">
        <v>200</v>
      </c>
      <c r="H140" s="68">
        <f t="shared" si="16"/>
        <v>27.590624999999999</v>
      </c>
      <c r="I140" s="1">
        <f t="shared" ref="I140:I166" si="17">F140-H140</f>
        <v>25.409375000000001</v>
      </c>
      <c r="J140" s="1">
        <f t="shared" ref="J140:J166" si="18">I140-$M$4</f>
        <v>-50.28262500000001</v>
      </c>
      <c r="K140" t="str">
        <f t="shared" ref="K140:K166" si="19">IF(J140&lt;=0,"KO","OK")</f>
        <v>KO</v>
      </c>
      <c r="L140" s="1">
        <f t="shared" ref="L140:L166" si="20">D140-H140</f>
        <v>92.409374999999997</v>
      </c>
      <c r="M140" s="1">
        <f t="shared" ref="M140:M166" si="21">D140-L140</f>
        <v>27.590625000000003</v>
      </c>
      <c r="O140" s="160">
        <f t="shared" ref="O140:O166" si="22">G140/$B$3^2</f>
        <v>200</v>
      </c>
      <c r="P140" s="51">
        <f t="shared" ref="P140:P166" si="23">G140*I140/$B$3/($B$2*9.81*0.5)</f>
        <v>0.92094234907690564</v>
      </c>
    </row>
    <row r="141" spans="1:19" x14ac:dyDescent="0.25">
      <c r="A141" s="316"/>
      <c r="B141" s="68">
        <v>131</v>
      </c>
      <c r="C141" s="68">
        <v>60110004</v>
      </c>
      <c r="D141" s="68">
        <v>140</v>
      </c>
      <c r="E141" s="91">
        <v>13.25</v>
      </c>
      <c r="F141" s="68">
        <v>68</v>
      </c>
      <c r="G141" s="68">
        <v>200</v>
      </c>
      <c r="H141" s="68">
        <f t="shared" si="16"/>
        <v>27.590624999999999</v>
      </c>
      <c r="I141" s="1">
        <f t="shared" si="17"/>
        <v>40.409374999999997</v>
      </c>
      <c r="J141" s="1">
        <f t="shared" si="18"/>
        <v>-35.28262500000001</v>
      </c>
      <c r="K141" t="str">
        <f t="shared" si="19"/>
        <v>KO</v>
      </c>
      <c r="L141" s="1">
        <f t="shared" si="20"/>
        <v>112.409375</v>
      </c>
      <c r="M141" s="1">
        <f t="shared" si="21"/>
        <v>27.590625000000003</v>
      </c>
      <c r="O141" s="160">
        <f t="shared" si="22"/>
        <v>200</v>
      </c>
      <c r="P141" s="51">
        <f t="shared" si="23"/>
        <v>1.4646052780609353</v>
      </c>
    </row>
    <row r="142" spans="1:19" x14ac:dyDescent="0.25">
      <c r="A142" s="316"/>
      <c r="B142" s="68">
        <v>132</v>
      </c>
      <c r="C142" s="68">
        <v>60110033</v>
      </c>
      <c r="D142" s="68">
        <v>100</v>
      </c>
      <c r="E142" s="91">
        <v>12.25</v>
      </c>
      <c r="F142" s="68">
        <v>46</v>
      </c>
      <c r="G142" s="68">
        <v>220</v>
      </c>
      <c r="H142" s="68">
        <f t="shared" si="16"/>
        <v>25.082386363636363</v>
      </c>
      <c r="I142" s="1">
        <f t="shared" si="17"/>
        <v>20.917613636363637</v>
      </c>
      <c r="J142" s="1">
        <f t="shared" si="18"/>
        <v>-54.774386363636367</v>
      </c>
      <c r="K142" t="str">
        <f t="shared" si="19"/>
        <v>KO</v>
      </c>
      <c r="L142" s="1">
        <f t="shared" si="20"/>
        <v>74.91761363636364</v>
      </c>
      <c r="M142" s="1">
        <f t="shared" si="21"/>
        <v>25.08238636363636</v>
      </c>
      <c r="O142" s="160">
        <f t="shared" si="22"/>
        <v>220</v>
      </c>
      <c r="P142" s="51">
        <f t="shared" si="23"/>
        <v>0.83395628043946091</v>
      </c>
    </row>
    <row r="143" spans="1:19" x14ac:dyDescent="0.25">
      <c r="A143" s="316"/>
      <c r="B143" s="68">
        <v>133</v>
      </c>
      <c r="C143" s="68">
        <v>60110061</v>
      </c>
      <c r="D143" s="68">
        <v>120</v>
      </c>
      <c r="E143" s="91">
        <v>13</v>
      </c>
      <c r="F143" s="68">
        <v>53</v>
      </c>
      <c r="G143" s="68">
        <v>220</v>
      </c>
      <c r="H143" s="68">
        <f t="shared" si="16"/>
        <v>25.082386363636363</v>
      </c>
      <c r="I143" s="1">
        <f t="shared" si="17"/>
        <v>27.917613636363637</v>
      </c>
      <c r="J143" s="1">
        <f t="shared" si="18"/>
        <v>-47.774386363636367</v>
      </c>
      <c r="K143" t="str">
        <f t="shared" si="19"/>
        <v>KO</v>
      </c>
      <c r="L143" s="1">
        <f t="shared" si="20"/>
        <v>94.91761363636364</v>
      </c>
      <c r="M143" s="1">
        <f t="shared" si="21"/>
        <v>25.08238636363636</v>
      </c>
      <c r="O143" s="160">
        <f t="shared" si="22"/>
        <v>220</v>
      </c>
      <c r="P143" s="51">
        <f t="shared" si="23"/>
        <v>1.1130365839845962</v>
      </c>
    </row>
    <row r="144" spans="1:19" x14ac:dyDescent="0.25">
      <c r="A144" s="316"/>
      <c r="B144" s="68">
        <v>134</v>
      </c>
      <c r="C144" s="68">
        <v>60110067</v>
      </c>
      <c r="D144" s="68">
        <v>140</v>
      </c>
      <c r="E144" s="91">
        <v>13.5</v>
      </c>
      <c r="F144" s="68">
        <v>63</v>
      </c>
      <c r="G144" s="68">
        <v>220</v>
      </c>
      <c r="H144" s="68">
        <f t="shared" si="16"/>
        <v>25.082386363636363</v>
      </c>
      <c r="I144" s="1">
        <f t="shared" si="17"/>
        <v>37.91761363636364</v>
      </c>
      <c r="J144" s="1">
        <f t="shared" si="18"/>
        <v>-37.774386363636367</v>
      </c>
      <c r="K144" t="str">
        <f t="shared" si="19"/>
        <v>KO</v>
      </c>
      <c r="L144" s="1">
        <f t="shared" si="20"/>
        <v>114.91761363636364</v>
      </c>
      <c r="M144" s="1">
        <f t="shared" si="21"/>
        <v>25.08238636363636</v>
      </c>
      <c r="O144" s="160">
        <f t="shared" si="22"/>
        <v>220</v>
      </c>
      <c r="P144" s="51">
        <f t="shared" si="23"/>
        <v>1.5117227319062181</v>
      </c>
    </row>
    <row r="145" spans="1:16" x14ac:dyDescent="0.25">
      <c r="A145" s="316"/>
      <c r="B145" s="68">
        <v>135</v>
      </c>
      <c r="C145" s="68">
        <v>60110084</v>
      </c>
      <c r="D145" s="68">
        <v>100</v>
      </c>
      <c r="E145" s="91">
        <v>12.75</v>
      </c>
      <c r="F145" s="68">
        <v>42</v>
      </c>
      <c r="G145" s="68">
        <v>240</v>
      </c>
      <c r="H145" s="68">
        <f t="shared" si="16"/>
        <v>22.9921875</v>
      </c>
      <c r="I145" s="1">
        <f t="shared" si="17"/>
        <v>19.0078125</v>
      </c>
      <c r="J145" s="1">
        <f t="shared" si="18"/>
        <v>-56.684187500000007</v>
      </c>
      <c r="K145" t="str">
        <f t="shared" si="19"/>
        <v>KO</v>
      </c>
      <c r="L145" s="1">
        <f t="shared" si="20"/>
        <v>77.0078125</v>
      </c>
      <c r="M145" s="1">
        <f t="shared" si="21"/>
        <v>22.9921875</v>
      </c>
      <c r="O145" s="160">
        <f t="shared" si="22"/>
        <v>240</v>
      </c>
      <c r="P145" s="51">
        <f t="shared" si="23"/>
        <v>0.82670744138634045</v>
      </c>
    </row>
    <row r="146" spans="1:16" x14ac:dyDescent="0.25">
      <c r="A146" s="316"/>
      <c r="B146" s="68">
        <v>136</v>
      </c>
      <c r="C146" s="68">
        <v>60110007</v>
      </c>
      <c r="D146" s="68">
        <v>120</v>
      </c>
      <c r="E146" s="91">
        <v>13.25</v>
      </c>
      <c r="F146" s="68">
        <v>53</v>
      </c>
      <c r="G146" s="68">
        <v>240</v>
      </c>
      <c r="H146" s="68">
        <f t="shared" si="16"/>
        <v>22.9921875</v>
      </c>
      <c r="I146" s="1">
        <f t="shared" si="17"/>
        <v>30.0078125</v>
      </c>
      <c r="J146" s="1">
        <f t="shared" si="18"/>
        <v>-45.684187500000007</v>
      </c>
      <c r="K146" t="str">
        <f t="shared" si="19"/>
        <v>KO</v>
      </c>
      <c r="L146" s="1">
        <f t="shared" si="20"/>
        <v>97.0078125</v>
      </c>
      <c r="M146" s="1">
        <f t="shared" si="21"/>
        <v>22.9921875</v>
      </c>
      <c r="O146" s="160">
        <f t="shared" si="22"/>
        <v>240</v>
      </c>
      <c r="P146" s="51">
        <f t="shared" si="23"/>
        <v>1.3051308188922868</v>
      </c>
    </row>
    <row r="147" spans="1:16" x14ac:dyDescent="0.25">
      <c r="A147" s="316"/>
      <c r="B147" s="68">
        <v>137</v>
      </c>
      <c r="C147" s="68">
        <v>60110109</v>
      </c>
      <c r="D147" s="68">
        <v>140</v>
      </c>
      <c r="E147" s="91">
        <v>14.25</v>
      </c>
      <c r="F147" s="68">
        <v>58</v>
      </c>
      <c r="G147" s="68">
        <v>240</v>
      </c>
      <c r="H147" s="68">
        <f t="shared" si="16"/>
        <v>22.9921875</v>
      </c>
      <c r="I147" s="1">
        <f t="shared" si="17"/>
        <v>35.0078125</v>
      </c>
      <c r="J147" s="1">
        <f t="shared" si="18"/>
        <v>-40.684187500000007</v>
      </c>
      <c r="K147" t="str">
        <f t="shared" si="19"/>
        <v>KO</v>
      </c>
      <c r="L147" s="1">
        <f t="shared" si="20"/>
        <v>117.0078125</v>
      </c>
      <c r="M147" s="1">
        <f t="shared" si="21"/>
        <v>22.9921875</v>
      </c>
      <c r="O147" s="160">
        <f t="shared" si="22"/>
        <v>240</v>
      </c>
      <c r="P147" s="51">
        <f t="shared" si="23"/>
        <v>1.5225959904858988</v>
      </c>
    </row>
    <row r="148" spans="1:16" x14ac:dyDescent="0.25">
      <c r="A148" s="316"/>
      <c r="B148" s="68">
        <v>138</v>
      </c>
      <c r="C148" s="68">
        <v>60110085</v>
      </c>
      <c r="D148" s="68">
        <v>100</v>
      </c>
      <c r="E148" s="91">
        <v>13</v>
      </c>
      <c r="F148" s="68">
        <v>40</v>
      </c>
      <c r="G148" s="68">
        <v>260</v>
      </c>
      <c r="H148" s="68">
        <f t="shared" si="16"/>
        <v>21.223557692307693</v>
      </c>
      <c r="I148" s="1">
        <f t="shared" si="17"/>
        <v>18.776442307692307</v>
      </c>
      <c r="J148" s="1">
        <f t="shared" si="18"/>
        <v>-56.915557692307701</v>
      </c>
      <c r="K148" t="str">
        <f t="shared" si="19"/>
        <v>KO</v>
      </c>
      <c r="L148" s="1">
        <f t="shared" si="20"/>
        <v>78.776442307692307</v>
      </c>
      <c r="M148" s="1">
        <f t="shared" si="21"/>
        <v>21.223557692307693</v>
      </c>
      <c r="O148" s="160">
        <f t="shared" si="22"/>
        <v>260</v>
      </c>
      <c r="P148" s="51">
        <f t="shared" si="23"/>
        <v>0.88469815381130368</v>
      </c>
    </row>
    <row r="149" spans="1:16" x14ac:dyDescent="0.25">
      <c r="A149" s="316"/>
      <c r="B149" s="68">
        <v>139</v>
      </c>
      <c r="C149" s="68">
        <v>60110008</v>
      </c>
      <c r="D149" s="68">
        <v>120</v>
      </c>
      <c r="E149" s="91">
        <v>13.5</v>
      </c>
      <c r="F149" s="68">
        <v>52</v>
      </c>
      <c r="G149" s="68">
        <v>260</v>
      </c>
      <c r="H149" s="68">
        <f t="shared" si="16"/>
        <v>21.223557692307693</v>
      </c>
      <c r="I149" s="1">
        <f t="shared" si="17"/>
        <v>30.776442307692307</v>
      </c>
      <c r="J149" s="1">
        <f t="shared" si="18"/>
        <v>-44.915557692307701</v>
      </c>
      <c r="K149" t="str">
        <f t="shared" si="19"/>
        <v>KO</v>
      </c>
      <c r="L149" s="1">
        <f t="shared" si="20"/>
        <v>98.776442307692307</v>
      </c>
      <c r="M149" s="1">
        <f t="shared" si="21"/>
        <v>21.223557692307693</v>
      </c>
      <c r="O149" s="160">
        <f t="shared" si="22"/>
        <v>260</v>
      </c>
      <c r="P149" s="51">
        <f t="shared" si="23"/>
        <v>1.4501075999546948</v>
      </c>
    </row>
    <row r="150" spans="1:16" x14ac:dyDescent="0.25">
      <c r="A150" s="316"/>
      <c r="B150" s="68">
        <v>140</v>
      </c>
      <c r="C150" s="68">
        <v>60110110</v>
      </c>
      <c r="D150" s="68">
        <v>140</v>
      </c>
      <c r="E150" s="91">
        <v>14.5</v>
      </c>
      <c r="F150" s="68">
        <v>58</v>
      </c>
      <c r="G150" s="68">
        <v>260</v>
      </c>
      <c r="H150" s="68">
        <f t="shared" si="16"/>
        <v>21.223557692307693</v>
      </c>
      <c r="I150" s="1">
        <f t="shared" si="17"/>
        <v>36.776442307692307</v>
      </c>
      <c r="J150" s="1">
        <f t="shared" si="18"/>
        <v>-38.915557692307701</v>
      </c>
      <c r="K150" t="str">
        <f t="shared" si="19"/>
        <v>KO</v>
      </c>
      <c r="L150" s="1">
        <f t="shared" si="20"/>
        <v>118.77644230769231</v>
      </c>
      <c r="M150" s="1">
        <f t="shared" si="21"/>
        <v>21.223557692307693</v>
      </c>
      <c r="N150" s="1"/>
      <c r="O150" s="160">
        <f t="shared" si="22"/>
        <v>260</v>
      </c>
      <c r="P150" s="51">
        <f t="shared" si="23"/>
        <v>1.7328123230263903</v>
      </c>
    </row>
    <row r="151" spans="1:16" x14ac:dyDescent="0.25">
      <c r="A151" s="316"/>
      <c r="B151" s="68">
        <v>141</v>
      </c>
      <c r="C151" s="68">
        <v>60110086</v>
      </c>
      <c r="D151" s="68">
        <v>100</v>
      </c>
      <c r="E151" s="91">
        <v>13.25</v>
      </c>
      <c r="F151" s="68">
        <v>40</v>
      </c>
      <c r="G151" s="68">
        <v>280</v>
      </c>
      <c r="H151" s="68">
        <f t="shared" si="16"/>
        <v>19.707589285714285</v>
      </c>
      <c r="I151" s="1">
        <f t="shared" si="17"/>
        <v>20.292410714285715</v>
      </c>
      <c r="J151" s="1">
        <f t="shared" si="18"/>
        <v>-55.399589285714292</v>
      </c>
      <c r="K151" t="str">
        <f t="shared" si="19"/>
        <v>KO</v>
      </c>
      <c r="L151" s="1">
        <f t="shared" si="20"/>
        <v>80.292410714285722</v>
      </c>
      <c r="M151" s="1">
        <f t="shared" si="21"/>
        <v>19.707589285714278</v>
      </c>
      <c r="O151" s="160">
        <f t="shared" si="22"/>
        <v>280</v>
      </c>
      <c r="P151" s="51">
        <f t="shared" si="23"/>
        <v>1.0296749348737115</v>
      </c>
    </row>
    <row r="152" spans="1:16" x14ac:dyDescent="0.25">
      <c r="A152" s="316"/>
      <c r="B152" s="68">
        <v>142</v>
      </c>
      <c r="C152" s="68">
        <v>60110107</v>
      </c>
      <c r="D152" s="68">
        <v>120</v>
      </c>
      <c r="E152" s="91">
        <v>14</v>
      </c>
      <c r="F152" s="68">
        <v>52</v>
      </c>
      <c r="G152" s="68">
        <v>280</v>
      </c>
      <c r="H152" s="68">
        <f t="shared" si="16"/>
        <v>19.707589285714285</v>
      </c>
      <c r="I152" s="1">
        <f t="shared" si="17"/>
        <v>32.292410714285715</v>
      </c>
      <c r="J152" s="1">
        <f t="shared" si="18"/>
        <v>-43.399589285714292</v>
      </c>
      <c r="K152" t="str">
        <f t="shared" si="19"/>
        <v>KO</v>
      </c>
      <c r="L152" s="1">
        <f t="shared" si="20"/>
        <v>100.29241071428572</v>
      </c>
      <c r="M152" s="1">
        <f t="shared" si="21"/>
        <v>19.707589285714278</v>
      </c>
      <c r="O152" s="160">
        <f t="shared" si="22"/>
        <v>280</v>
      </c>
      <c r="P152" s="51">
        <f t="shared" si="23"/>
        <v>1.638577415335825</v>
      </c>
    </row>
    <row r="153" spans="1:16" x14ac:dyDescent="0.25">
      <c r="A153" s="316"/>
      <c r="B153" s="68">
        <v>143</v>
      </c>
      <c r="C153" s="68">
        <v>60110087</v>
      </c>
      <c r="D153" s="68">
        <v>100</v>
      </c>
      <c r="E153" s="91">
        <v>13.5</v>
      </c>
      <c r="F153" s="68">
        <v>39</v>
      </c>
      <c r="G153" s="68">
        <v>300</v>
      </c>
      <c r="H153" s="68">
        <f t="shared" si="16"/>
        <v>18.393750000000001</v>
      </c>
      <c r="I153" s="1">
        <f t="shared" si="17"/>
        <v>20.606249999999999</v>
      </c>
      <c r="J153" s="1">
        <f t="shared" si="18"/>
        <v>-55.085750000000004</v>
      </c>
      <c r="K153" t="str">
        <f t="shared" si="19"/>
        <v>KO</v>
      </c>
      <c r="L153" s="1">
        <f t="shared" si="20"/>
        <v>81.606250000000003</v>
      </c>
      <c r="M153" s="1">
        <f t="shared" si="21"/>
        <v>18.393749999999997</v>
      </c>
      <c r="O153" s="160">
        <f t="shared" si="22"/>
        <v>300</v>
      </c>
      <c r="P153" s="51">
        <f t="shared" si="23"/>
        <v>1.1202854230377166</v>
      </c>
    </row>
    <row r="154" spans="1:16" x14ac:dyDescent="0.25">
      <c r="A154" s="316"/>
      <c r="B154" s="68">
        <v>144</v>
      </c>
      <c r="C154" s="68">
        <v>60110108</v>
      </c>
      <c r="D154" s="68">
        <v>120</v>
      </c>
      <c r="E154" s="91">
        <v>14.25</v>
      </c>
      <c r="F154" s="68">
        <v>48</v>
      </c>
      <c r="G154" s="68">
        <v>300</v>
      </c>
      <c r="H154" s="68">
        <f t="shared" si="16"/>
        <v>18.393750000000001</v>
      </c>
      <c r="I154" s="1">
        <f t="shared" si="17"/>
        <v>29.606249999999999</v>
      </c>
      <c r="J154" s="1">
        <f t="shared" si="18"/>
        <v>-46.085750000000004</v>
      </c>
      <c r="K154" t="str">
        <f t="shared" si="19"/>
        <v>KO</v>
      </c>
      <c r="L154" s="1">
        <f t="shared" si="20"/>
        <v>101.60625</v>
      </c>
      <c r="M154" s="1">
        <f t="shared" si="21"/>
        <v>18.393749999999997</v>
      </c>
      <c r="O154" s="160">
        <f t="shared" si="22"/>
        <v>300</v>
      </c>
      <c r="P154" s="51">
        <f t="shared" si="23"/>
        <v>1.6095820591233436</v>
      </c>
    </row>
    <row r="155" spans="1:16" x14ac:dyDescent="0.25">
      <c r="A155" s="316"/>
      <c r="B155" s="68">
        <v>145</v>
      </c>
      <c r="C155" s="68">
        <v>60110088</v>
      </c>
      <c r="D155" s="68">
        <v>100</v>
      </c>
      <c r="E155" s="91">
        <v>13.75</v>
      </c>
      <c r="F155" s="68">
        <v>38</v>
      </c>
      <c r="G155" s="68">
        <v>320</v>
      </c>
      <c r="H155" s="68">
        <f t="shared" si="16"/>
        <v>17.244140625</v>
      </c>
      <c r="I155" s="1">
        <f t="shared" si="17"/>
        <v>20.755859375</v>
      </c>
      <c r="J155" s="1">
        <f t="shared" si="18"/>
        <v>-54.936140625000007</v>
      </c>
      <c r="K155" t="str">
        <f t="shared" si="19"/>
        <v>KO</v>
      </c>
      <c r="L155" s="1">
        <f t="shared" si="20"/>
        <v>82.755859375</v>
      </c>
      <c r="M155" s="1">
        <f t="shared" si="21"/>
        <v>17.244140625</v>
      </c>
      <c r="O155" s="160">
        <f t="shared" si="22"/>
        <v>320</v>
      </c>
      <c r="P155" s="51">
        <f t="shared" si="23"/>
        <v>1.2036470721486012</v>
      </c>
    </row>
    <row r="156" spans="1:16" x14ac:dyDescent="0.25">
      <c r="A156" s="316"/>
      <c r="B156" s="68">
        <v>146</v>
      </c>
      <c r="C156" s="68">
        <v>60110089</v>
      </c>
      <c r="D156" s="68">
        <v>100</v>
      </c>
      <c r="E156" s="91">
        <v>14</v>
      </c>
      <c r="F156" s="68">
        <v>37</v>
      </c>
      <c r="G156" s="68">
        <v>340</v>
      </c>
      <c r="H156" s="68">
        <f t="shared" si="16"/>
        <v>16.229779411764707</v>
      </c>
      <c r="I156" s="1">
        <f t="shared" si="17"/>
        <v>20.770220588235293</v>
      </c>
      <c r="J156" s="1">
        <f t="shared" si="18"/>
        <v>-54.921779411764717</v>
      </c>
      <c r="K156" t="str">
        <f t="shared" si="19"/>
        <v>KO</v>
      </c>
      <c r="L156" s="1">
        <f t="shared" si="20"/>
        <v>83.77022058823529</v>
      </c>
      <c r="M156" s="1">
        <f t="shared" si="21"/>
        <v>16.22977941176471</v>
      </c>
      <c r="O156" s="160">
        <f t="shared" si="22"/>
        <v>340</v>
      </c>
      <c r="P156" s="51">
        <f t="shared" si="23"/>
        <v>1.2797598822063654</v>
      </c>
    </row>
    <row r="157" spans="1:16" x14ac:dyDescent="0.25">
      <c r="A157" s="317" t="s">
        <v>35</v>
      </c>
      <c r="B157" s="68">
        <v>147</v>
      </c>
      <c r="C157" s="68">
        <v>60110125</v>
      </c>
      <c r="D157" s="68">
        <v>250</v>
      </c>
      <c r="E157" s="91">
        <v>12</v>
      </c>
      <c r="F157" s="68">
        <v>148</v>
      </c>
      <c r="G157" s="68">
        <v>60</v>
      </c>
      <c r="H157" s="68">
        <f t="shared" si="16"/>
        <v>91.96875</v>
      </c>
      <c r="I157" s="1">
        <f t="shared" si="17"/>
        <v>56.03125</v>
      </c>
      <c r="J157" s="1">
        <f t="shared" si="18"/>
        <v>-19.660750000000007</v>
      </c>
      <c r="K157" t="str">
        <f t="shared" si="19"/>
        <v>KO</v>
      </c>
      <c r="L157" s="1">
        <f t="shared" si="20"/>
        <v>158.03125</v>
      </c>
      <c r="M157" s="1">
        <f t="shared" si="21"/>
        <v>91.96875</v>
      </c>
      <c r="O157" s="160">
        <f t="shared" si="22"/>
        <v>60</v>
      </c>
      <c r="P157" s="51">
        <f t="shared" si="23"/>
        <v>0.60924226979272855</v>
      </c>
    </row>
    <row r="158" spans="1:16" x14ac:dyDescent="0.25">
      <c r="A158" s="317"/>
      <c r="B158" s="68">
        <v>148</v>
      </c>
      <c r="C158" s="68">
        <v>60110124</v>
      </c>
      <c r="D158" s="68">
        <v>200</v>
      </c>
      <c r="E158" s="91">
        <v>11.75</v>
      </c>
      <c r="F158" s="68">
        <v>117</v>
      </c>
      <c r="G158" s="68">
        <v>70</v>
      </c>
      <c r="H158" s="68">
        <f t="shared" si="16"/>
        <v>78.830357142857139</v>
      </c>
      <c r="I158" s="1">
        <f t="shared" si="17"/>
        <v>38.169642857142861</v>
      </c>
      <c r="J158" s="1">
        <f t="shared" si="18"/>
        <v>-37.522357142857146</v>
      </c>
      <c r="K158" t="str">
        <f t="shared" si="19"/>
        <v>KO</v>
      </c>
      <c r="L158" s="1">
        <f t="shared" si="20"/>
        <v>121.16964285714286</v>
      </c>
      <c r="M158" s="1">
        <f t="shared" si="21"/>
        <v>78.830357142857139</v>
      </c>
      <c r="O158" s="160">
        <f t="shared" si="22"/>
        <v>70</v>
      </c>
      <c r="P158" s="51">
        <f t="shared" si="23"/>
        <v>0.48419979612640174</v>
      </c>
    </row>
    <row r="159" spans="1:16" x14ac:dyDescent="0.25">
      <c r="A159" s="317"/>
      <c r="B159" s="68">
        <v>149</v>
      </c>
      <c r="C159" s="68">
        <v>60110126</v>
      </c>
      <c r="D159" s="68">
        <v>250</v>
      </c>
      <c r="E159" s="91">
        <v>12.5</v>
      </c>
      <c r="F159" s="68">
        <v>145</v>
      </c>
      <c r="G159" s="68">
        <v>70</v>
      </c>
      <c r="H159" s="68">
        <f t="shared" si="16"/>
        <v>78.830357142857139</v>
      </c>
      <c r="I159" s="1">
        <f t="shared" si="17"/>
        <v>66.169642857142861</v>
      </c>
      <c r="J159" s="1">
        <f t="shared" si="18"/>
        <v>-9.5223571428571461</v>
      </c>
      <c r="K159" t="str">
        <f t="shared" si="19"/>
        <v>KO</v>
      </c>
      <c r="L159" s="1">
        <f t="shared" si="20"/>
        <v>171.16964285714286</v>
      </c>
      <c r="M159" s="1">
        <f t="shared" si="21"/>
        <v>78.830357142857139</v>
      </c>
      <c r="O159" s="160">
        <f t="shared" si="22"/>
        <v>70</v>
      </c>
      <c r="P159" s="51">
        <f t="shared" si="23"/>
        <v>0.83939290972930114</v>
      </c>
    </row>
    <row r="160" spans="1:16" x14ac:dyDescent="0.25">
      <c r="A160" s="317"/>
      <c r="B160" s="68">
        <v>150</v>
      </c>
      <c r="C160" s="68">
        <v>60110146</v>
      </c>
      <c r="D160" s="68">
        <v>170</v>
      </c>
      <c r="E160" s="91">
        <v>11.9</v>
      </c>
      <c r="F160" s="68">
        <v>100</v>
      </c>
      <c r="G160" s="68">
        <v>80</v>
      </c>
      <c r="H160" s="68">
        <f t="shared" si="16"/>
        <v>68.9765625</v>
      </c>
      <c r="I160" s="1">
        <f t="shared" si="17"/>
        <v>31.0234375</v>
      </c>
      <c r="J160" s="1">
        <f t="shared" si="18"/>
        <v>-44.668562500000007</v>
      </c>
      <c r="K160" t="str">
        <f t="shared" si="19"/>
        <v>KO</v>
      </c>
      <c r="L160" s="1">
        <f t="shared" si="20"/>
        <v>101.0234375</v>
      </c>
      <c r="M160" s="1">
        <f t="shared" si="21"/>
        <v>68.9765625</v>
      </c>
      <c r="O160" s="160">
        <f t="shared" si="22"/>
        <v>80</v>
      </c>
      <c r="P160" s="51">
        <f t="shared" si="23"/>
        <v>0.44976781062407972</v>
      </c>
    </row>
    <row r="161" spans="1:16" x14ac:dyDescent="0.25">
      <c r="A161" s="317"/>
      <c r="B161" s="68">
        <v>151</v>
      </c>
      <c r="C161" s="68">
        <v>60110127</v>
      </c>
      <c r="D161" s="68">
        <v>250</v>
      </c>
      <c r="E161" s="91">
        <v>13</v>
      </c>
      <c r="F161" s="68">
        <v>141</v>
      </c>
      <c r="G161" s="68">
        <v>80</v>
      </c>
      <c r="H161" s="68">
        <f t="shared" si="16"/>
        <v>68.9765625</v>
      </c>
      <c r="I161" s="1">
        <f t="shared" si="17"/>
        <v>72.0234375</v>
      </c>
      <c r="J161" s="1">
        <f t="shared" si="18"/>
        <v>-3.6685625000000073</v>
      </c>
      <c r="K161" t="str">
        <f t="shared" si="19"/>
        <v>KO</v>
      </c>
      <c r="L161" s="1">
        <f t="shared" si="20"/>
        <v>181.0234375</v>
      </c>
      <c r="M161" s="1">
        <f t="shared" si="21"/>
        <v>68.9765625</v>
      </c>
      <c r="O161" s="160">
        <f t="shared" si="22"/>
        <v>80</v>
      </c>
      <c r="P161" s="51">
        <f t="shared" si="23"/>
        <v>1.0441726129799525</v>
      </c>
    </row>
    <row r="162" spans="1:16" x14ac:dyDescent="0.25">
      <c r="A162" s="317"/>
      <c r="B162" s="68">
        <v>152</v>
      </c>
      <c r="C162" s="68">
        <v>60110179</v>
      </c>
      <c r="D162" s="68">
        <v>170</v>
      </c>
      <c r="E162" s="91">
        <v>13.1</v>
      </c>
      <c r="F162" s="68">
        <v>75</v>
      </c>
      <c r="G162" s="68">
        <v>100</v>
      </c>
      <c r="H162" s="68">
        <f t="shared" si="16"/>
        <v>55.181249999999999</v>
      </c>
      <c r="I162" s="1">
        <f t="shared" si="17"/>
        <v>19.818750000000001</v>
      </c>
      <c r="J162" s="1">
        <f t="shared" si="18"/>
        <v>-55.873250000000006</v>
      </c>
      <c r="K162" t="str">
        <f t="shared" si="19"/>
        <v>KO</v>
      </c>
      <c r="L162" s="1">
        <f t="shared" si="20"/>
        <v>114.81874999999999</v>
      </c>
      <c r="M162" s="1">
        <f t="shared" si="21"/>
        <v>55.181250000000006</v>
      </c>
      <c r="O162" s="160">
        <f t="shared" si="22"/>
        <v>100</v>
      </c>
      <c r="P162" s="51">
        <f t="shared" si="23"/>
        <v>0.35915732246007481</v>
      </c>
    </row>
    <row r="163" spans="1:16" x14ac:dyDescent="0.25">
      <c r="A163" s="317"/>
      <c r="B163" s="68">
        <v>153</v>
      </c>
      <c r="C163" s="68">
        <v>60110176</v>
      </c>
      <c r="D163" s="68">
        <v>200</v>
      </c>
      <c r="E163" s="91">
        <v>13</v>
      </c>
      <c r="F163" s="68">
        <v>112</v>
      </c>
      <c r="G163" s="68">
        <v>100</v>
      </c>
      <c r="H163" s="68">
        <f t="shared" si="16"/>
        <v>55.181249999999999</v>
      </c>
      <c r="I163" s="1">
        <f t="shared" si="17"/>
        <v>56.818750000000001</v>
      </c>
      <c r="J163" s="1">
        <f t="shared" si="18"/>
        <v>-18.873250000000006</v>
      </c>
      <c r="K163" t="str">
        <f t="shared" si="19"/>
        <v>KO</v>
      </c>
      <c r="L163" s="1">
        <f t="shared" si="20"/>
        <v>144.81874999999999</v>
      </c>
      <c r="M163" s="1">
        <f t="shared" si="21"/>
        <v>55.181250000000006</v>
      </c>
      <c r="O163" s="160">
        <f t="shared" si="22"/>
        <v>100</v>
      </c>
      <c r="P163" s="51">
        <f t="shared" si="23"/>
        <v>1.0296749348737115</v>
      </c>
    </row>
    <row r="164" spans="1:16" x14ac:dyDescent="0.25">
      <c r="A164" s="317"/>
      <c r="B164" s="68">
        <v>154</v>
      </c>
      <c r="C164" s="68">
        <v>60110128</v>
      </c>
      <c r="D164" s="68">
        <v>250</v>
      </c>
      <c r="E164" s="91">
        <v>14</v>
      </c>
      <c r="F164" s="68">
        <v>130</v>
      </c>
      <c r="G164" s="68">
        <v>100</v>
      </c>
      <c r="H164" s="68">
        <f t="shared" si="16"/>
        <v>55.181249999999999</v>
      </c>
      <c r="I164" s="1">
        <f t="shared" si="17"/>
        <v>74.818749999999994</v>
      </c>
      <c r="J164" s="1">
        <f t="shared" si="18"/>
        <v>-0.87325000000001296</v>
      </c>
      <c r="K164" t="str">
        <f t="shared" si="19"/>
        <v>KO</v>
      </c>
      <c r="L164" s="1">
        <f t="shared" si="20"/>
        <v>194.81874999999999</v>
      </c>
      <c r="M164" s="1">
        <f t="shared" si="21"/>
        <v>55.181250000000006</v>
      </c>
      <c r="O164" s="160">
        <f t="shared" si="22"/>
        <v>100</v>
      </c>
      <c r="P164" s="51">
        <f t="shared" si="23"/>
        <v>1.3558726922641293</v>
      </c>
    </row>
    <row r="165" spans="1:16" x14ac:dyDescent="0.25">
      <c r="A165" s="317"/>
      <c r="B165" s="68">
        <v>155</v>
      </c>
      <c r="C165" s="68">
        <v>60110180</v>
      </c>
      <c r="D165" s="68">
        <v>170</v>
      </c>
      <c r="E165" s="91">
        <v>13.75</v>
      </c>
      <c r="F165" s="68">
        <v>72</v>
      </c>
      <c r="G165" s="68">
        <v>120</v>
      </c>
      <c r="H165" s="68">
        <f t="shared" si="16"/>
        <v>45.984375</v>
      </c>
      <c r="I165" s="1">
        <f t="shared" si="17"/>
        <v>26.015625</v>
      </c>
      <c r="J165" s="1">
        <f t="shared" si="18"/>
        <v>-49.676375000000007</v>
      </c>
      <c r="K165" t="str">
        <f t="shared" si="19"/>
        <v>KO</v>
      </c>
      <c r="L165" s="1">
        <f t="shared" si="20"/>
        <v>124.015625</v>
      </c>
      <c r="M165" s="1">
        <f t="shared" si="21"/>
        <v>45.984375</v>
      </c>
      <c r="O165" s="160">
        <f t="shared" si="22"/>
        <v>120</v>
      </c>
      <c r="P165" s="51">
        <f t="shared" si="23"/>
        <v>0.56574923547400613</v>
      </c>
    </row>
    <row r="166" spans="1:16" x14ac:dyDescent="0.25">
      <c r="A166" s="317"/>
      <c r="B166" s="68">
        <v>156</v>
      </c>
      <c r="C166" s="68">
        <v>60110177</v>
      </c>
      <c r="D166" s="68">
        <v>200</v>
      </c>
      <c r="E166" s="91">
        <v>13.75</v>
      </c>
      <c r="F166" s="68">
        <v>106</v>
      </c>
      <c r="G166" s="68">
        <v>120</v>
      </c>
      <c r="H166" s="68">
        <f t="shared" si="16"/>
        <v>45.984375</v>
      </c>
      <c r="I166" s="1">
        <f t="shared" si="17"/>
        <v>60.015625</v>
      </c>
      <c r="J166" s="1">
        <f t="shared" si="18"/>
        <v>-15.676375000000007</v>
      </c>
      <c r="K166" t="str">
        <f t="shared" si="19"/>
        <v>KO</v>
      </c>
      <c r="L166" s="1">
        <f t="shared" si="20"/>
        <v>154.015625</v>
      </c>
      <c r="M166" s="1">
        <f t="shared" si="21"/>
        <v>45.984375</v>
      </c>
      <c r="O166" s="160">
        <f t="shared" si="22"/>
        <v>120</v>
      </c>
      <c r="P166" s="51">
        <f t="shared" si="23"/>
        <v>1.3051308188922868</v>
      </c>
    </row>
    <row r="200" spans="4:4" x14ac:dyDescent="0.25">
      <c r="D200" s="1"/>
    </row>
    <row r="201" spans="4:4" x14ac:dyDescent="0.25">
      <c r="D201" s="1"/>
    </row>
    <row r="202" spans="4:4" x14ac:dyDescent="0.25">
      <c r="D202" s="1"/>
    </row>
    <row r="203" spans="4:4" x14ac:dyDescent="0.25">
      <c r="D203" s="1"/>
    </row>
    <row r="205" spans="4:4" x14ac:dyDescent="0.25">
      <c r="D205" s="1"/>
    </row>
    <row r="206" spans="4:4" x14ac:dyDescent="0.25">
      <c r="D206" s="1"/>
    </row>
    <row r="207" spans="4:4" x14ac:dyDescent="0.25">
      <c r="D207" s="1"/>
    </row>
    <row r="208" spans="4:4" x14ac:dyDescent="0.25">
      <c r="D208" s="1"/>
    </row>
    <row r="209" spans="4:4" x14ac:dyDescent="0.25">
      <c r="D209" s="1"/>
    </row>
    <row r="210" spans="4:4" x14ac:dyDescent="0.25">
      <c r="D210" s="1"/>
    </row>
    <row r="211" spans="4:4" x14ac:dyDescent="0.25">
      <c r="D211" s="1"/>
    </row>
    <row r="212" spans="4:4" x14ac:dyDescent="0.25">
      <c r="D212" s="1"/>
    </row>
    <row r="213" spans="4:4" x14ac:dyDescent="0.25">
      <c r="D213" s="1"/>
    </row>
    <row r="214" spans="4:4" x14ac:dyDescent="0.25">
      <c r="D214" s="1"/>
    </row>
    <row r="215" spans="4:4" x14ac:dyDescent="0.25">
      <c r="D215" s="1"/>
    </row>
    <row r="216" spans="4:4" x14ac:dyDescent="0.25">
      <c r="D216" s="1"/>
    </row>
    <row r="217" spans="4:4" x14ac:dyDescent="0.25">
      <c r="D217" s="1"/>
    </row>
    <row r="218" spans="4:4" x14ac:dyDescent="0.25">
      <c r="D218" s="1"/>
    </row>
    <row r="219" spans="4:4" x14ac:dyDescent="0.25">
      <c r="D219" s="1"/>
    </row>
    <row r="220" spans="4:4" x14ac:dyDescent="0.25">
      <c r="D220" s="1"/>
    </row>
    <row r="221" spans="4:4" x14ac:dyDescent="0.25">
      <c r="D221" s="1"/>
    </row>
    <row r="222" spans="4:4" x14ac:dyDescent="0.25">
      <c r="D222" s="1"/>
    </row>
    <row r="223" spans="4:4" x14ac:dyDescent="0.25">
      <c r="D223" s="1"/>
    </row>
    <row r="224" spans="4:4" x14ac:dyDescent="0.25">
      <c r="D224" s="1"/>
    </row>
    <row r="225" spans="4:4" x14ac:dyDescent="0.25">
      <c r="D225" s="1"/>
    </row>
    <row r="226" spans="4:4" x14ac:dyDescent="0.25">
      <c r="D226" s="1"/>
    </row>
    <row r="227" spans="4:4" x14ac:dyDescent="0.25">
      <c r="D227" s="1"/>
    </row>
    <row r="228" spans="4:4" x14ac:dyDescent="0.25">
      <c r="D228" s="1"/>
    </row>
    <row r="229" spans="4:4" x14ac:dyDescent="0.25">
      <c r="D229" s="1"/>
    </row>
    <row r="230" spans="4:4" x14ac:dyDescent="0.25">
      <c r="D230" s="1"/>
    </row>
    <row r="231" spans="4:4" x14ac:dyDescent="0.25">
      <c r="D231" s="1"/>
    </row>
    <row r="232" spans="4:4" x14ac:dyDescent="0.25">
      <c r="D232" s="1"/>
    </row>
    <row r="233" spans="4:4" x14ac:dyDescent="0.25">
      <c r="D233" s="1"/>
    </row>
    <row r="234" spans="4:4" x14ac:dyDescent="0.25">
      <c r="D234" s="1"/>
    </row>
    <row r="235" spans="4:4" x14ac:dyDescent="0.25">
      <c r="D235" s="1"/>
    </row>
    <row r="236" spans="4:4" x14ac:dyDescent="0.25">
      <c r="D236" s="1"/>
    </row>
    <row r="237" spans="4:4" x14ac:dyDescent="0.25">
      <c r="D237" s="1"/>
    </row>
    <row r="238" spans="4:4" x14ac:dyDescent="0.25">
      <c r="D238" s="1"/>
    </row>
    <row r="239" spans="4:4" x14ac:dyDescent="0.25">
      <c r="D239" s="1"/>
    </row>
    <row r="240" spans="4:4" x14ac:dyDescent="0.25">
      <c r="D240" s="1"/>
    </row>
    <row r="241" spans="4:4" x14ac:dyDescent="0.25">
      <c r="D241" s="1"/>
    </row>
    <row r="242" spans="4:4" x14ac:dyDescent="0.25">
      <c r="D242" s="1"/>
    </row>
    <row r="243" spans="4:4" x14ac:dyDescent="0.25">
      <c r="D243" s="1"/>
    </row>
    <row r="244" spans="4:4" x14ac:dyDescent="0.25">
      <c r="D244" s="1"/>
    </row>
    <row r="245" spans="4:4" x14ac:dyDescent="0.25">
      <c r="D245" s="1"/>
    </row>
    <row r="246" spans="4:4" x14ac:dyDescent="0.25">
      <c r="D246" s="1"/>
    </row>
    <row r="247" spans="4:4" x14ac:dyDescent="0.25">
      <c r="D247" s="1"/>
    </row>
    <row r="248" spans="4:4" x14ac:dyDescent="0.25">
      <c r="D248" s="1"/>
    </row>
    <row r="249" spans="4:4" x14ac:dyDescent="0.25">
      <c r="D249" s="1"/>
    </row>
    <row r="250" spans="4:4" x14ac:dyDescent="0.25">
      <c r="D250" s="1"/>
    </row>
    <row r="251" spans="4:4" x14ac:dyDescent="0.25">
      <c r="D251" s="1"/>
    </row>
    <row r="252" spans="4:4" x14ac:dyDescent="0.25">
      <c r="D252" s="1"/>
    </row>
    <row r="253" spans="4:4" x14ac:dyDescent="0.25">
      <c r="D253" s="1"/>
    </row>
    <row r="254" spans="4:4" x14ac:dyDescent="0.25">
      <c r="D254" s="1"/>
    </row>
    <row r="255" spans="4:4" x14ac:dyDescent="0.25">
      <c r="D255" s="1"/>
    </row>
    <row r="256" spans="4:4" x14ac:dyDescent="0.25">
      <c r="D256" s="1"/>
    </row>
    <row r="257" spans="4:4" x14ac:dyDescent="0.25">
      <c r="D257" s="1"/>
    </row>
    <row r="258" spans="4:4" x14ac:dyDescent="0.25">
      <c r="D258" s="1"/>
    </row>
    <row r="259" spans="4:4" x14ac:dyDescent="0.25">
      <c r="D259" s="1"/>
    </row>
    <row r="260" spans="4:4" x14ac:dyDescent="0.25">
      <c r="D260" s="1"/>
    </row>
    <row r="261" spans="4:4" x14ac:dyDescent="0.25">
      <c r="D261" s="1"/>
    </row>
    <row r="262" spans="4:4" x14ac:dyDescent="0.25">
      <c r="D262" s="1"/>
    </row>
    <row r="263" spans="4:4" x14ac:dyDescent="0.25">
      <c r="D263" s="1"/>
    </row>
    <row r="264" spans="4:4" x14ac:dyDescent="0.25">
      <c r="D264" s="1"/>
    </row>
    <row r="265" spans="4:4" x14ac:dyDescent="0.25">
      <c r="D265" s="1"/>
    </row>
    <row r="266" spans="4:4" x14ac:dyDescent="0.25">
      <c r="D266" s="1"/>
    </row>
    <row r="267" spans="4:4" x14ac:dyDescent="0.25">
      <c r="D267" s="1"/>
    </row>
    <row r="268" spans="4:4" x14ac:dyDescent="0.25">
      <c r="D268" s="1"/>
    </row>
    <row r="269" spans="4:4" x14ac:dyDescent="0.25">
      <c r="D269" s="1"/>
    </row>
    <row r="270" spans="4:4" x14ac:dyDescent="0.25">
      <c r="D270" s="1"/>
    </row>
    <row r="271" spans="4:4" x14ac:dyDescent="0.25">
      <c r="D271" s="1"/>
    </row>
    <row r="272" spans="4:4" x14ac:dyDescent="0.25">
      <c r="D272" s="1"/>
    </row>
    <row r="273" spans="4:4" x14ac:dyDescent="0.25">
      <c r="D273" s="1"/>
    </row>
    <row r="274" spans="4:4" x14ac:dyDescent="0.25">
      <c r="D274" s="1"/>
    </row>
    <row r="275" spans="4:4" x14ac:dyDescent="0.25">
      <c r="D275" s="1"/>
    </row>
    <row r="276" spans="4:4" x14ac:dyDescent="0.25">
      <c r="D276" s="1"/>
    </row>
    <row r="277" spans="4:4" x14ac:dyDescent="0.25">
      <c r="D277" s="1"/>
    </row>
    <row r="278" spans="4:4" x14ac:dyDescent="0.25">
      <c r="D278" s="1"/>
    </row>
    <row r="279" spans="4:4" x14ac:dyDescent="0.25">
      <c r="D279" s="1"/>
    </row>
    <row r="280" spans="4:4" x14ac:dyDescent="0.25">
      <c r="D280" s="1"/>
    </row>
    <row r="281" spans="4:4" x14ac:dyDescent="0.25">
      <c r="D281" s="1"/>
    </row>
    <row r="282" spans="4:4" x14ac:dyDescent="0.25">
      <c r="D282" s="1"/>
    </row>
    <row r="283" spans="4:4" x14ac:dyDescent="0.25">
      <c r="D283" s="1"/>
    </row>
    <row r="284" spans="4:4" x14ac:dyDescent="0.25">
      <c r="D284" s="1"/>
    </row>
    <row r="285" spans="4:4" x14ac:dyDescent="0.25">
      <c r="D285" s="1"/>
    </row>
    <row r="286" spans="4:4" x14ac:dyDescent="0.25">
      <c r="D286" s="1"/>
    </row>
    <row r="287" spans="4:4" x14ac:dyDescent="0.25">
      <c r="D287" s="1"/>
    </row>
    <row r="288" spans="4:4" x14ac:dyDescent="0.25">
      <c r="D288" s="1"/>
    </row>
    <row r="289" spans="4:4" x14ac:dyDescent="0.25">
      <c r="D289" s="1"/>
    </row>
    <row r="290" spans="4:4" x14ac:dyDescent="0.25">
      <c r="D290" s="1"/>
    </row>
    <row r="291" spans="4:4" x14ac:dyDescent="0.25">
      <c r="D291" s="1"/>
    </row>
    <row r="292" spans="4:4" x14ac:dyDescent="0.25">
      <c r="D292" s="1"/>
    </row>
    <row r="293" spans="4:4" x14ac:dyDescent="0.25">
      <c r="D293" s="1"/>
    </row>
    <row r="294" spans="4:4" x14ac:dyDescent="0.25">
      <c r="D294" s="1"/>
    </row>
    <row r="295" spans="4:4" x14ac:dyDescent="0.25">
      <c r="D295" s="1"/>
    </row>
    <row r="296" spans="4:4" x14ac:dyDescent="0.25">
      <c r="D296" s="1"/>
    </row>
    <row r="297" spans="4:4" x14ac:dyDescent="0.25">
      <c r="D297" s="1"/>
    </row>
    <row r="298" spans="4:4" x14ac:dyDescent="0.25">
      <c r="D298" s="1"/>
    </row>
    <row r="299" spans="4:4" x14ac:dyDescent="0.25">
      <c r="D299" s="1"/>
    </row>
    <row r="300" spans="4:4" x14ac:dyDescent="0.25">
      <c r="D300" s="1"/>
    </row>
    <row r="301" spans="4:4" x14ac:dyDescent="0.25">
      <c r="D301" s="1"/>
    </row>
    <row r="302" spans="4:4" x14ac:dyDescent="0.25">
      <c r="D302" s="1"/>
    </row>
    <row r="303" spans="4:4" x14ac:dyDescent="0.25">
      <c r="D303" s="1"/>
    </row>
    <row r="304" spans="4:4" x14ac:dyDescent="0.25">
      <c r="D304" s="1"/>
    </row>
    <row r="305" spans="4:4" x14ac:dyDescent="0.25">
      <c r="D305" s="1"/>
    </row>
    <row r="306" spans="4:4" x14ac:dyDescent="0.25">
      <c r="D306" s="1"/>
    </row>
    <row r="307" spans="4:4" x14ac:dyDescent="0.25">
      <c r="D307" s="1"/>
    </row>
    <row r="308" spans="4:4" x14ac:dyDescent="0.25">
      <c r="D308" s="1"/>
    </row>
    <row r="309" spans="4:4" x14ac:dyDescent="0.25">
      <c r="D309" s="1"/>
    </row>
    <row r="310" spans="4:4" x14ac:dyDescent="0.25">
      <c r="D310" s="1"/>
    </row>
    <row r="311" spans="4:4" x14ac:dyDescent="0.25">
      <c r="D311" s="1"/>
    </row>
    <row r="312" spans="4:4" x14ac:dyDescent="0.25">
      <c r="D312" s="1"/>
    </row>
    <row r="313" spans="4:4" x14ac:dyDescent="0.25">
      <c r="D313" s="1"/>
    </row>
    <row r="314" spans="4:4" x14ac:dyDescent="0.25">
      <c r="D314" s="1"/>
    </row>
    <row r="315" spans="4:4" x14ac:dyDescent="0.25">
      <c r="D315" s="1"/>
    </row>
    <row r="316" spans="4:4" x14ac:dyDescent="0.25">
      <c r="D316" s="1"/>
    </row>
    <row r="317" spans="4:4" x14ac:dyDescent="0.25">
      <c r="D317" s="1"/>
    </row>
    <row r="318" spans="4:4" x14ac:dyDescent="0.25">
      <c r="D318" s="1"/>
    </row>
    <row r="319" spans="4:4" x14ac:dyDescent="0.25">
      <c r="D319" s="1"/>
    </row>
    <row r="320" spans="4:4" x14ac:dyDescent="0.25">
      <c r="D320" s="1"/>
    </row>
    <row r="321" spans="4:4" x14ac:dyDescent="0.25">
      <c r="D321" s="1"/>
    </row>
    <row r="322" spans="4:4" x14ac:dyDescent="0.25">
      <c r="D322" s="1"/>
    </row>
    <row r="323" spans="4:4" x14ac:dyDescent="0.25">
      <c r="D323" s="1"/>
    </row>
    <row r="324" spans="4:4" x14ac:dyDescent="0.25">
      <c r="D324" s="1"/>
    </row>
    <row r="325" spans="4:4" x14ac:dyDescent="0.25">
      <c r="D325" s="1"/>
    </row>
    <row r="326" spans="4:4" x14ac:dyDescent="0.25">
      <c r="D326" s="1"/>
    </row>
    <row r="327" spans="4:4" x14ac:dyDescent="0.25">
      <c r="D327" s="1"/>
    </row>
    <row r="328" spans="4:4" x14ac:dyDescent="0.25">
      <c r="D328" s="1"/>
    </row>
    <row r="329" spans="4:4" x14ac:dyDescent="0.25">
      <c r="D329" s="1"/>
    </row>
    <row r="330" spans="4:4" x14ac:dyDescent="0.25">
      <c r="D330" s="1"/>
    </row>
    <row r="331" spans="4:4" x14ac:dyDescent="0.25">
      <c r="D331" s="1"/>
    </row>
    <row r="332" spans="4:4" x14ac:dyDescent="0.25">
      <c r="D332" s="1"/>
    </row>
    <row r="333" spans="4:4" x14ac:dyDescent="0.25">
      <c r="D333" s="1"/>
    </row>
    <row r="334" spans="4:4" x14ac:dyDescent="0.25">
      <c r="D334" s="1"/>
    </row>
    <row r="335" spans="4:4" x14ac:dyDescent="0.25">
      <c r="D335" s="1"/>
    </row>
    <row r="336" spans="4:4" x14ac:dyDescent="0.25">
      <c r="D336" s="1"/>
    </row>
    <row r="337" spans="4:4" x14ac:dyDescent="0.25">
      <c r="D337" s="1"/>
    </row>
    <row r="338" spans="4:4" x14ac:dyDescent="0.25">
      <c r="D338" s="1"/>
    </row>
    <row r="339" spans="4:4" x14ac:dyDescent="0.25">
      <c r="D339" s="1"/>
    </row>
    <row r="340" spans="4:4" x14ac:dyDescent="0.25">
      <c r="D340" s="1"/>
    </row>
    <row r="341" spans="4:4" x14ac:dyDescent="0.25">
      <c r="D341" s="1"/>
    </row>
    <row r="342" spans="4:4" x14ac:dyDescent="0.25">
      <c r="D342" s="1"/>
    </row>
    <row r="343" spans="4:4" x14ac:dyDescent="0.25">
      <c r="D343" s="1"/>
    </row>
    <row r="344" spans="4:4" x14ac:dyDescent="0.25">
      <c r="D344" s="1"/>
    </row>
    <row r="345" spans="4:4" x14ac:dyDescent="0.25">
      <c r="D345" s="1"/>
    </row>
    <row r="346" spans="4:4" x14ac:dyDescent="0.25">
      <c r="D346" s="1"/>
    </row>
    <row r="347" spans="4:4" x14ac:dyDescent="0.25">
      <c r="D347" s="1"/>
    </row>
    <row r="348" spans="4:4" x14ac:dyDescent="0.25">
      <c r="D348" s="1"/>
    </row>
    <row r="349" spans="4:4" x14ac:dyDescent="0.25">
      <c r="D349" s="1"/>
    </row>
    <row r="350" spans="4:4" x14ac:dyDescent="0.25">
      <c r="D350" s="1"/>
    </row>
    <row r="351" spans="4:4" x14ac:dyDescent="0.25">
      <c r="D351" s="1"/>
    </row>
    <row r="352" spans="4:4" x14ac:dyDescent="0.25">
      <c r="D352" s="1"/>
    </row>
    <row r="353" spans="4:4" x14ac:dyDescent="0.25">
      <c r="D353" s="1"/>
    </row>
    <row r="354" spans="4:4" x14ac:dyDescent="0.25">
      <c r="D354" s="1"/>
    </row>
    <row r="355" spans="4:4" x14ac:dyDescent="0.25">
      <c r="D355" s="1"/>
    </row>
  </sheetData>
  <mergeCells count="6">
    <mergeCell ref="G2:I2"/>
    <mergeCell ref="L2:N2"/>
    <mergeCell ref="A11:A53"/>
    <mergeCell ref="A54:A156"/>
    <mergeCell ref="A157:A166"/>
    <mergeCell ref="G6:J6"/>
  </mergeCells>
  <conditionalFormatting sqref="I11:I166">
    <cfRule type="cellIs" dxfId="34" priority="7" operator="lessThan">
      <formula>0</formula>
    </cfRule>
    <cfRule type="cellIs" dxfId="33" priority="8" operator="greaterThan">
      <formula>0</formula>
    </cfRule>
  </conditionalFormatting>
  <conditionalFormatting sqref="K11:K166">
    <cfRule type="cellIs" dxfId="32" priority="5" operator="equal">
      <formula>"OK"</formula>
    </cfRule>
    <cfRule type="cellIs" dxfId="31" priority="6" operator="equal">
      <formula>"KO"</formula>
    </cfRule>
  </conditionalFormatting>
  <conditionalFormatting sqref="J11:J166">
    <cfRule type="colorScale" priority="4">
      <colorScale>
        <cfvo type="min"/>
        <cfvo type="percentile" val="50"/>
        <cfvo type="num" val="0"/>
        <color rgb="FFF8696B"/>
        <color rgb="FFFFEB84"/>
        <color rgb="FF63BE7B"/>
      </colorScale>
    </cfRule>
  </conditionalFormatting>
  <conditionalFormatting sqref="L11:L166">
    <cfRule type="cellIs" dxfId="30" priority="3" operator="between">
      <formula>$L$7</formula>
      <formula>$L$8</formula>
    </cfRule>
  </conditionalFormatting>
  <conditionalFormatting sqref="M11:M166">
    <cfRule type="cellIs" dxfId="29" priority="1" operator="lessThan">
      <formula>$N$4</formula>
    </cfRule>
    <cfRule type="cellIs" dxfId="28" priority="2" operator="greaterThanOrEqual">
      <formula>$N$4</formula>
    </cfRule>
  </conditionalFormatting>
  <dataValidations count="1">
    <dataValidation type="list" allowBlank="1" showInputMessage="1" showErrorMessage="1" sqref="AA19" xr:uid="{00000000-0002-0000-0200-000000000000}">
      <formula1>$U$18:$U$20</formula1>
    </dataValidation>
  </dataValidations>
  <pageMargins left="0.7" right="0.7" top="0.75" bottom="0.75" header="0.3" footer="0.3"/>
  <pageSetup paperSize="9" scale="2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oglio5">
    <tabColor theme="9"/>
    <pageSetUpPr fitToPage="1"/>
  </sheetPr>
  <dimension ref="B1:S45"/>
  <sheetViews>
    <sheetView topLeftCell="A19" zoomScale="85" zoomScaleNormal="85" workbookViewId="0">
      <selection activeCell="S26" sqref="S26"/>
    </sheetView>
  </sheetViews>
  <sheetFormatPr defaultRowHeight="15" x14ac:dyDescent="0.25"/>
  <cols>
    <col min="3" max="3" width="18.28515625" bestFit="1" customWidth="1"/>
    <col min="4" max="4" width="10.42578125" customWidth="1"/>
    <col min="5" max="5" width="12.28515625" customWidth="1"/>
    <col min="6" max="6" width="15.28515625" bestFit="1" customWidth="1"/>
    <col min="7" max="7" width="10" customWidth="1"/>
    <col min="9" max="9" width="18.28515625" bestFit="1" customWidth="1"/>
    <col min="10" max="10" width="13.42578125" customWidth="1"/>
    <col min="12" max="12" width="15.28515625" bestFit="1" customWidth="1"/>
    <col min="13" max="13" width="15.7109375" customWidth="1"/>
    <col min="14" max="14" width="30.28515625" customWidth="1"/>
    <col min="19" max="19" width="20.5703125" bestFit="1" customWidth="1"/>
  </cols>
  <sheetData>
    <row r="1" spans="3:19" ht="15.75" thickBot="1" x14ac:dyDescent="0.3"/>
    <row r="2" spans="3:19" s="10" customFormat="1" ht="30" x14ac:dyDescent="0.25">
      <c r="C2" s="19" t="s">
        <v>44</v>
      </c>
      <c r="D2" s="20" t="s">
        <v>45</v>
      </c>
      <c r="F2" s="348" t="s">
        <v>113</v>
      </c>
      <c r="G2" s="349"/>
      <c r="H2" s="350"/>
      <c r="N2" s="80" t="s">
        <v>73</v>
      </c>
      <c r="P2" s="348" t="s">
        <v>54</v>
      </c>
      <c r="Q2" s="349"/>
      <c r="R2" s="349"/>
      <c r="S2" s="350"/>
    </row>
    <row r="3" spans="3:19" x14ac:dyDescent="0.25">
      <c r="C3" s="70">
        <v>150</v>
      </c>
      <c r="D3" s="71">
        <v>75</v>
      </c>
      <c r="F3" s="21" t="s">
        <v>52</v>
      </c>
      <c r="G3" s="48">
        <v>0</v>
      </c>
      <c r="H3" s="17" t="s">
        <v>43</v>
      </c>
      <c r="N3" s="81" t="s">
        <v>74</v>
      </c>
      <c r="P3" s="324" t="s">
        <v>55</v>
      </c>
      <c r="Q3" s="325"/>
      <c r="R3" s="325"/>
      <c r="S3" s="326"/>
    </row>
    <row r="4" spans="3:19" ht="60.75" thickBot="1" x14ac:dyDescent="0.3">
      <c r="C4" s="70">
        <v>175</v>
      </c>
      <c r="D4" s="71">
        <v>100</v>
      </c>
      <c r="F4" s="25" t="s">
        <v>53</v>
      </c>
      <c r="G4" s="110">
        <v>0</v>
      </c>
      <c r="H4" s="18" t="s">
        <v>43</v>
      </c>
      <c r="N4" s="82" t="s">
        <v>75</v>
      </c>
      <c r="P4" s="26" t="s">
        <v>28</v>
      </c>
      <c r="Q4" s="27" t="s">
        <v>29</v>
      </c>
      <c r="R4" s="27" t="s">
        <v>58</v>
      </c>
      <c r="S4" s="28" t="s">
        <v>59</v>
      </c>
    </row>
    <row r="5" spans="3:19" ht="15.75" thickBot="1" x14ac:dyDescent="0.3">
      <c r="C5" s="70">
        <v>200</v>
      </c>
      <c r="D5" s="71">
        <v>125</v>
      </c>
      <c r="F5" s="16"/>
      <c r="G5" s="16"/>
      <c r="H5" s="16"/>
      <c r="N5" s="83" t="s">
        <v>78</v>
      </c>
      <c r="P5" s="70">
        <v>5</v>
      </c>
      <c r="Q5" s="48">
        <v>80</v>
      </c>
      <c r="R5" s="48">
        <v>55</v>
      </c>
      <c r="S5" s="71">
        <v>60110144</v>
      </c>
    </row>
    <row r="6" spans="3:19" x14ac:dyDescent="0.25">
      <c r="C6" s="70">
        <v>225</v>
      </c>
      <c r="D6" s="71">
        <v>150</v>
      </c>
      <c r="F6" s="348" t="s">
        <v>113</v>
      </c>
      <c r="G6" s="349"/>
      <c r="H6" s="350"/>
      <c r="N6" s="84" t="s">
        <v>79</v>
      </c>
      <c r="P6" s="70">
        <v>20</v>
      </c>
      <c r="Q6" s="48">
        <v>60</v>
      </c>
      <c r="R6" s="48">
        <v>46</v>
      </c>
      <c r="S6" s="71">
        <v>60110028</v>
      </c>
    </row>
    <row r="7" spans="3:19" ht="15.75" thickBot="1" x14ac:dyDescent="0.3">
      <c r="C7" s="70">
        <v>250</v>
      </c>
      <c r="D7" s="71">
        <f>C7-C3+D3</f>
        <v>175</v>
      </c>
      <c r="F7" s="21" t="s">
        <v>52</v>
      </c>
      <c r="G7" s="48">
        <v>0</v>
      </c>
      <c r="H7" s="17" t="s">
        <v>43</v>
      </c>
      <c r="N7" s="85" t="s">
        <v>80</v>
      </c>
      <c r="P7" s="324" t="s">
        <v>56</v>
      </c>
      <c r="Q7" s="325"/>
      <c r="R7" s="325"/>
      <c r="S7" s="326"/>
    </row>
    <row r="8" spans="3:19" ht="15.75" thickBot="1" x14ac:dyDescent="0.3">
      <c r="C8" s="70">
        <v>260</v>
      </c>
      <c r="D8" s="71">
        <v>185</v>
      </c>
      <c r="F8" s="25" t="s">
        <v>53</v>
      </c>
      <c r="G8" s="74">
        <v>0</v>
      </c>
      <c r="H8" s="18" t="s">
        <v>43</v>
      </c>
      <c r="P8" s="70">
        <v>3</v>
      </c>
      <c r="Q8" s="48">
        <v>80</v>
      </c>
      <c r="R8" s="48">
        <v>68</v>
      </c>
      <c r="S8" s="71">
        <v>60110100</v>
      </c>
    </row>
    <row r="9" spans="3:19" ht="15.75" thickBot="1" x14ac:dyDescent="0.3">
      <c r="C9" s="72">
        <v>300</v>
      </c>
      <c r="D9" s="73">
        <v>225</v>
      </c>
      <c r="P9" s="70">
        <v>10</v>
      </c>
      <c r="Q9" s="48">
        <v>80</v>
      </c>
      <c r="R9" s="48">
        <v>55</v>
      </c>
      <c r="S9" s="71">
        <v>60110028</v>
      </c>
    </row>
    <row r="10" spans="3:19" ht="15.75" thickBot="1" x14ac:dyDescent="0.3">
      <c r="P10" s="70">
        <v>20</v>
      </c>
      <c r="Q10" s="48">
        <v>80</v>
      </c>
      <c r="R10" s="48">
        <v>45</v>
      </c>
      <c r="S10" s="71">
        <v>60110005</v>
      </c>
    </row>
    <row r="11" spans="3:19" ht="15.75" thickBot="1" x14ac:dyDescent="0.3">
      <c r="C11" s="304" t="s">
        <v>51</v>
      </c>
      <c r="D11" s="306"/>
      <c r="G11" s="345" t="s">
        <v>27</v>
      </c>
      <c r="H11" s="346"/>
      <c r="I11" s="347"/>
      <c r="P11" s="70">
        <v>40</v>
      </c>
      <c r="Q11" s="48">
        <v>60</v>
      </c>
      <c r="R11" s="48">
        <v>44</v>
      </c>
      <c r="S11" s="71">
        <v>60110080</v>
      </c>
    </row>
    <row r="12" spans="3:19" ht="15.75" thickBot="1" x14ac:dyDescent="0.3">
      <c r="C12" s="22" t="s">
        <v>50</v>
      </c>
      <c r="D12" s="130">
        <v>77.5</v>
      </c>
      <c r="F12" s="109">
        <v>1</v>
      </c>
      <c r="G12" s="105" t="s">
        <v>20</v>
      </c>
      <c r="H12" s="106" t="s">
        <v>21</v>
      </c>
      <c r="I12" s="107" t="s">
        <v>22</v>
      </c>
      <c r="P12" s="70">
        <v>50</v>
      </c>
      <c r="Q12" s="48">
        <v>60</v>
      </c>
      <c r="R12" s="48">
        <v>43</v>
      </c>
      <c r="S12" s="71">
        <v>60110081</v>
      </c>
    </row>
    <row r="13" spans="3:19" ht="15.75" thickBot="1" x14ac:dyDescent="0.3">
      <c r="C13" s="23" t="s">
        <v>46</v>
      </c>
      <c r="D13" s="71">
        <v>30</v>
      </c>
      <c r="F13" s="98" t="str">
        <f>VLOOKUP($F$12,'front wheel travel'!$A$14:$E$16,2)</f>
        <v>Race</v>
      </c>
      <c r="G13" s="108">
        <f>H13+I13</f>
        <v>143.60000000000002</v>
      </c>
      <c r="H13" s="108">
        <f>'front spring'!M4</f>
        <v>75.692000000000007</v>
      </c>
      <c r="I13" s="108">
        <f>'front spring'!J8-'front spring'!G8</f>
        <v>67.908000000000015</v>
      </c>
      <c r="P13" s="70">
        <v>60</v>
      </c>
      <c r="Q13" s="48">
        <v>60</v>
      </c>
      <c r="R13" s="48">
        <v>36</v>
      </c>
      <c r="S13" s="71">
        <v>60110092</v>
      </c>
    </row>
    <row r="14" spans="3:19" x14ac:dyDescent="0.25">
      <c r="C14" s="23" t="s">
        <v>47</v>
      </c>
      <c r="D14" s="71">
        <v>35.5</v>
      </c>
      <c r="F14" s="42"/>
      <c r="G14" s="1"/>
      <c r="H14" s="1"/>
      <c r="I14" s="1"/>
      <c r="P14" s="324" t="s">
        <v>57</v>
      </c>
      <c r="Q14" s="325"/>
      <c r="R14" s="325"/>
      <c r="S14" s="326"/>
    </row>
    <row r="15" spans="3:19" ht="15.75" thickBot="1" x14ac:dyDescent="0.3">
      <c r="C15" s="23" t="s">
        <v>48</v>
      </c>
      <c r="D15" s="71">
        <v>13</v>
      </c>
      <c r="F15" s="42"/>
      <c r="G15" s="1"/>
      <c r="H15" s="1"/>
      <c r="I15" s="1"/>
      <c r="P15" s="72">
        <v>15</v>
      </c>
      <c r="Q15" s="74">
        <v>80</v>
      </c>
      <c r="R15" s="74">
        <v>53</v>
      </c>
      <c r="S15" s="73">
        <v>60110122</v>
      </c>
    </row>
    <row r="16" spans="3:19" x14ac:dyDescent="0.25">
      <c r="C16" s="23" t="s">
        <v>49</v>
      </c>
      <c r="D16" s="71">
        <f>3</f>
        <v>3</v>
      </c>
    </row>
    <row r="17" spans="2:19" ht="15.75" thickBot="1" x14ac:dyDescent="0.3">
      <c r="C17" s="29" t="s">
        <v>62</v>
      </c>
      <c r="D17" s="73">
        <v>11.5</v>
      </c>
    </row>
    <row r="20" spans="2:19" ht="15.75" thickBot="1" x14ac:dyDescent="0.3">
      <c r="C20" s="151"/>
    </row>
    <row r="21" spans="2:19" ht="30.75" thickBot="1" x14ac:dyDescent="0.3">
      <c r="C21" s="151"/>
      <c r="F21" s="30" t="s">
        <v>69</v>
      </c>
      <c r="G21" s="327" t="s">
        <v>67</v>
      </c>
      <c r="H21" s="327" t="s">
        <v>68</v>
      </c>
      <c r="J21" s="339" t="s">
        <v>64</v>
      </c>
      <c r="K21" s="340"/>
      <c r="L21" s="341"/>
      <c r="N21" s="330" t="s">
        <v>83</v>
      </c>
      <c r="O21" s="331"/>
      <c r="P21" s="332"/>
      <c r="Q21" t="s">
        <v>105</v>
      </c>
    </row>
    <row r="22" spans="2:19" ht="51" customHeight="1" thickBot="1" x14ac:dyDescent="0.3">
      <c r="C22" s="1"/>
      <c r="D22" s="31" t="s">
        <v>46</v>
      </c>
      <c r="E22" s="75">
        <f>$D$13</f>
        <v>30</v>
      </c>
      <c r="F22" s="333">
        <f>SUM(E22:E25)-G23</f>
        <v>82.899999999999977</v>
      </c>
      <c r="G22" s="328"/>
      <c r="H22" s="329"/>
      <c r="J22" s="342"/>
      <c r="K22" s="343"/>
      <c r="L22" s="344"/>
      <c r="N22" s="24" t="s">
        <v>21</v>
      </c>
      <c r="O22" s="128">
        <f>H24-H13</f>
        <v>16.408000000000015</v>
      </c>
      <c r="P22" s="35" t="s">
        <v>43</v>
      </c>
      <c r="R22" s="1"/>
      <c r="S22" s="1"/>
    </row>
    <row r="23" spans="2:19" ht="15.75" thickBot="1" x14ac:dyDescent="0.3">
      <c r="C23" s="1"/>
      <c r="D23" s="32" t="s">
        <v>65</v>
      </c>
      <c r="E23" s="53">
        <v>250</v>
      </c>
      <c r="F23" s="334"/>
      <c r="G23" s="336">
        <v>449.6</v>
      </c>
      <c r="H23" s="328"/>
      <c r="J23" s="39" t="s">
        <v>62</v>
      </c>
      <c r="K23" s="77">
        <f>$D$17</f>
        <v>11.5</v>
      </c>
      <c r="L23" s="40" t="s">
        <v>43</v>
      </c>
      <c r="N23" s="36" t="s">
        <v>22</v>
      </c>
      <c r="O23" s="129">
        <f>F22-I13</f>
        <v>14.991999999999962</v>
      </c>
      <c r="P23" s="38" t="s">
        <v>43</v>
      </c>
      <c r="R23" s="1"/>
      <c r="S23" s="1"/>
    </row>
    <row r="24" spans="2:19" ht="30.75" thickBot="1" x14ac:dyDescent="0.3">
      <c r="D24" s="32" t="s">
        <v>66</v>
      </c>
      <c r="E24" s="76">
        <f>VLOOKUP($E$23,$C$3:$D$9,2)</f>
        <v>175</v>
      </c>
      <c r="F24" s="334"/>
      <c r="G24" s="337"/>
      <c r="H24" s="333">
        <f>E24-F22</f>
        <v>92.100000000000023</v>
      </c>
      <c r="J24" s="86" t="s">
        <v>61</v>
      </c>
      <c r="K24" s="54">
        <f>$H$30</f>
        <v>139.63749999999999</v>
      </c>
      <c r="L24" s="35" t="s">
        <v>43</v>
      </c>
      <c r="S24" s="1"/>
    </row>
    <row r="25" spans="2:19" ht="15.75" thickBot="1" x14ac:dyDescent="0.3">
      <c r="D25" s="33" t="s">
        <v>50</v>
      </c>
      <c r="E25" s="52">
        <f>$D$12</f>
        <v>77.5</v>
      </c>
      <c r="F25" s="335"/>
      <c r="G25" s="338"/>
      <c r="H25" s="335"/>
      <c r="J25" s="24" t="s">
        <v>49</v>
      </c>
      <c r="K25" s="78">
        <f>$D$16</f>
        <v>3</v>
      </c>
      <c r="L25" s="35" t="s">
        <v>43</v>
      </c>
      <c r="N25" s="304" t="s">
        <v>88</v>
      </c>
      <c r="O25" s="305"/>
      <c r="P25" s="306"/>
      <c r="Q25" s="42"/>
      <c r="S25" s="1"/>
    </row>
    <row r="26" spans="2:19" ht="30.75" thickBot="1" x14ac:dyDescent="0.3">
      <c r="F26" s="34" t="str">
        <f>IF(F22&gt;=I13,"OK","KO")</f>
        <v>OK</v>
      </c>
      <c r="H26" s="34" t="str">
        <f>IF(H24&gt;=H13,"OK","KO")</f>
        <v>OK</v>
      </c>
      <c r="J26" s="24" t="s">
        <v>63</v>
      </c>
      <c r="K26" s="63">
        <f>Q9-R9</f>
        <v>25</v>
      </c>
      <c r="L26" s="35" t="s">
        <v>43</v>
      </c>
      <c r="N26" s="88" t="s">
        <v>85</v>
      </c>
      <c r="O26" s="54">
        <f>K30+F22</f>
        <v>275.03749999999997</v>
      </c>
      <c r="P26" s="35" t="s">
        <v>43</v>
      </c>
    </row>
    <row r="27" spans="2:19" ht="51" customHeight="1" thickBot="1" x14ac:dyDescent="0.3">
      <c r="J27" s="24" t="s">
        <v>52</v>
      </c>
      <c r="K27" s="78">
        <f>$G$3</f>
        <v>0</v>
      </c>
      <c r="L27" s="35" t="s">
        <v>43</v>
      </c>
      <c r="N27" s="95" t="s">
        <v>89</v>
      </c>
      <c r="O27" s="54">
        <f>E30+K28+Q9+K27+K25+K23</f>
        <v>357.5</v>
      </c>
      <c r="P27" s="35" t="s">
        <v>43</v>
      </c>
    </row>
    <row r="28" spans="2:19" ht="46.15" customHeight="1" thickBot="1" x14ac:dyDescent="0.3">
      <c r="B28" s="321" t="s">
        <v>96</v>
      </c>
      <c r="C28" s="322"/>
      <c r="D28" s="322"/>
      <c r="E28" s="322"/>
      <c r="F28" s="322"/>
      <c r="G28" s="322"/>
      <c r="H28" s="323"/>
      <c r="J28" s="36" t="s">
        <v>48</v>
      </c>
      <c r="K28" s="79">
        <f>$D$15</f>
        <v>13</v>
      </c>
      <c r="L28" s="38" t="s">
        <v>43</v>
      </c>
      <c r="N28" s="88" t="s">
        <v>86</v>
      </c>
      <c r="O28" s="54">
        <f>O26-O23</f>
        <v>260.0455</v>
      </c>
      <c r="P28" s="35" t="s">
        <v>43</v>
      </c>
    </row>
    <row r="29" spans="2:19" ht="45.75" thickBot="1" x14ac:dyDescent="0.3">
      <c r="B29" s="116" t="s">
        <v>87</v>
      </c>
      <c r="C29" s="117" t="s">
        <v>32</v>
      </c>
      <c r="D29" s="117" t="s">
        <v>28</v>
      </c>
      <c r="E29" s="117" t="s">
        <v>29</v>
      </c>
      <c r="F29" s="117" t="s">
        <v>31</v>
      </c>
      <c r="G29" s="117" t="s">
        <v>36</v>
      </c>
      <c r="H29" s="118" t="s">
        <v>38</v>
      </c>
      <c r="K29" s="87"/>
      <c r="N29" s="89" t="s">
        <v>90</v>
      </c>
      <c r="O29" s="55">
        <f>O27-(K31+I13)</f>
        <v>-17.008000000000038</v>
      </c>
      <c r="P29" s="38" t="s">
        <v>43</v>
      </c>
    </row>
    <row r="30" spans="2:19" ht="45.75" thickBot="1" x14ac:dyDescent="0.3">
      <c r="B30" s="119">
        <v>60</v>
      </c>
      <c r="C30" s="57">
        <f>VLOOKUP($B30,'front spring'!$B$11:$M$166,2)</f>
        <v>60110073</v>
      </c>
      <c r="D30" s="57">
        <f>VLOOKUP($B30,'front spring'!$B$11:$M$166,6)</f>
        <v>50</v>
      </c>
      <c r="E30" s="57">
        <f>VLOOKUP($B30,'front spring'!$B$11:$M$166,3)</f>
        <v>250</v>
      </c>
      <c r="F30" s="57">
        <f>VLOOKUP($B30,'front spring'!$B$11:$M$166,5)</f>
        <v>144</v>
      </c>
      <c r="G30" s="58">
        <f>VLOOKUP($B30,'front spring'!$B$11:$M$166,7)</f>
        <v>110.3625</v>
      </c>
      <c r="H30" s="124">
        <f>VLOOKUP($B30,'front spring'!$B$11:$M$166,11)</f>
        <v>139.63749999999999</v>
      </c>
      <c r="J30" s="19" t="s">
        <v>81</v>
      </c>
      <c r="K30" s="112">
        <f>SUM(K23:K28)</f>
        <v>192.13749999999999</v>
      </c>
      <c r="L30" s="113" t="s">
        <v>43</v>
      </c>
      <c r="N30" s="10"/>
      <c r="O30" s="1" t="s">
        <v>22</v>
      </c>
      <c r="Q30" t="s">
        <v>21</v>
      </c>
      <c r="R30" t="s">
        <v>115</v>
      </c>
    </row>
    <row r="31" spans="2:19" ht="43.15" customHeight="1" x14ac:dyDescent="0.25">
      <c r="B31" s="123">
        <v>70</v>
      </c>
      <c r="C31" s="57">
        <f>VLOOKUP($B31,'front spring'!$B$11:$M$166,2)</f>
        <v>60110074</v>
      </c>
      <c r="D31" s="57">
        <f>VLOOKUP($B31,'front spring'!$B$11:$M$166,6)</f>
        <v>60</v>
      </c>
      <c r="E31" s="57">
        <f>VLOOKUP($B31,'front spring'!$B$11:$M$166,3)</f>
        <v>250</v>
      </c>
      <c r="F31" s="57">
        <f>VLOOKUP($B31,'front spring'!$B$11:$M$166,5)</f>
        <v>143</v>
      </c>
      <c r="G31" s="58">
        <f>VLOOKUP($B31,'front spring'!$B$11:$M$166,7)</f>
        <v>91.96875</v>
      </c>
      <c r="H31" s="124">
        <f>VLOOKUP($B31,'front spring'!$B$11:$M$166,11)</f>
        <v>158.03125</v>
      </c>
      <c r="J31" s="114" t="s">
        <v>84</v>
      </c>
      <c r="K31" s="111">
        <f>$G$23-$D$12-$D$13-$D$14</f>
        <v>306.60000000000002</v>
      </c>
      <c r="L31" s="17" t="s">
        <v>43</v>
      </c>
      <c r="N31" s="132" t="s">
        <v>116</v>
      </c>
      <c r="O31" s="133">
        <f>F22</f>
        <v>82.899999999999977</v>
      </c>
      <c r="P31" s="134"/>
      <c r="Q31" s="133">
        <f>H24</f>
        <v>92.100000000000023</v>
      </c>
      <c r="R31" s="135">
        <f>Q31+O31</f>
        <v>175</v>
      </c>
    </row>
    <row r="32" spans="2:19" ht="60" x14ac:dyDescent="0.25">
      <c r="B32" s="123">
        <v>78</v>
      </c>
      <c r="C32" s="57">
        <f>VLOOKUP($B32,'front spring'!$B$11:$M$166,2)</f>
        <v>60110075</v>
      </c>
      <c r="D32" s="57">
        <f>VLOOKUP($B32,'front spring'!$B$11:$M$166,6)</f>
        <v>70</v>
      </c>
      <c r="E32" s="57">
        <f>VLOOKUP($B32,'front spring'!$B$11:$M$166,3)</f>
        <v>250</v>
      </c>
      <c r="F32" s="57">
        <f>VLOOKUP($B32,'front spring'!$B$11:$M$166,5)</f>
        <v>138</v>
      </c>
      <c r="G32" s="58">
        <f>VLOOKUP($B32,'front spring'!$B$11:$M$166,7)</f>
        <v>78.830357142857139</v>
      </c>
      <c r="H32" s="124">
        <f>VLOOKUP($B32,'front spring'!$B$11:$M$166,11)</f>
        <v>171.16964285714286</v>
      </c>
      <c r="J32" s="115" t="s">
        <v>98</v>
      </c>
      <c r="K32" s="111">
        <f>K31-K30</f>
        <v>114.46250000000003</v>
      </c>
      <c r="L32" s="17" t="s">
        <v>43</v>
      </c>
      <c r="N32" s="86" t="s">
        <v>117</v>
      </c>
      <c r="O32" s="136">
        <f>G30</f>
        <v>110.3625</v>
      </c>
      <c r="P32" s="3"/>
      <c r="Q32" s="136">
        <f>F30-G30</f>
        <v>33.637500000000003</v>
      </c>
      <c r="R32" s="137">
        <f>Q32+O32</f>
        <v>144</v>
      </c>
      <c r="S32" t="s">
        <v>82</v>
      </c>
    </row>
    <row r="33" spans="2:18" ht="45" x14ac:dyDescent="0.25">
      <c r="B33" s="123">
        <v>86</v>
      </c>
      <c r="C33" s="57">
        <f>VLOOKUP($B33,'front spring'!$B$11:$M$166,2)</f>
        <v>60110090</v>
      </c>
      <c r="D33" s="57">
        <f>VLOOKUP($B33,'front spring'!$B$11:$M$166,6)</f>
        <v>80</v>
      </c>
      <c r="E33" s="57">
        <f>VLOOKUP($B33,'front spring'!$B$11:$M$166,3)</f>
        <v>250</v>
      </c>
      <c r="F33" s="57">
        <f>VLOOKUP($B33,'front spring'!$B$11:$M$166,5)</f>
        <v>133</v>
      </c>
      <c r="G33" s="58">
        <f>VLOOKUP($B33,'front spring'!$B$11:$M$166,7)</f>
        <v>68.9765625</v>
      </c>
      <c r="H33" s="124">
        <f>VLOOKUP($B33,'front spring'!$B$11:$M$166,11)</f>
        <v>181.0234375</v>
      </c>
      <c r="J33" s="115" t="s">
        <v>99</v>
      </c>
      <c r="K33" s="58">
        <f>D30*K32</f>
        <v>5723.1250000000018</v>
      </c>
      <c r="L33" s="17" t="s">
        <v>41</v>
      </c>
      <c r="N33" s="138" t="s">
        <v>118</v>
      </c>
      <c r="O33" s="139">
        <f>O32*O35</f>
        <v>110.3625</v>
      </c>
      <c r="P33" s="3" t="str">
        <f>IF(O33&lt;=40,"KO","OK")</f>
        <v>OK</v>
      </c>
      <c r="Q33" s="140">
        <f>Q32*O35</f>
        <v>33.637500000000003</v>
      </c>
      <c r="R33" s="141" t="str">
        <f>IF(Q33&lt;=60,"KO","OK")</f>
        <v>KO</v>
      </c>
    </row>
    <row r="34" spans="2:18" ht="45.75" thickBot="1" x14ac:dyDescent="0.3">
      <c r="B34" s="93">
        <v>92</v>
      </c>
      <c r="C34" s="59">
        <f>VLOOKUP($B34,'front spring'!$B$11:$M$166,2)</f>
        <v>60110091</v>
      </c>
      <c r="D34" s="59">
        <f>VLOOKUP($B34,'front spring'!$B$11:$M$166,6)</f>
        <v>90</v>
      </c>
      <c r="E34" s="59">
        <f>VLOOKUP($B34,'front spring'!$B$11:$M$166,3)</f>
        <v>250</v>
      </c>
      <c r="F34" s="59">
        <f>VLOOKUP($B34,'front spring'!$B$11:$M$166,5)</f>
        <v>133</v>
      </c>
      <c r="G34" s="60">
        <f>VLOOKUP($B34,'front spring'!$B$11:$M$166,7)</f>
        <v>61.3125</v>
      </c>
      <c r="H34" s="94">
        <f>VLOOKUP($B34,'front spring'!$B$11:$M$166,11)</f>
        <v>188.6875</v>
      </c>
      <c r="J34" s="86" t="s">
        <v>100</v>
      </c>
      <c r="K34" s="111">
        <f>E23-D14-K32-D15-G3-G4</f>
        <v>87.037499999999966</v>
      </c>
      <c r="L34" s="17" t="s">
        <v>43</v>
      </c>
      <c r="N34" s="86" t="s">
        <v>119</v>
      </c>
      <c r="O34" s="142">
        <f>O35*O31</f>
        <v>82.899999999999977</v>
      </c>
      <c r="P34" s="3"/>
      <c r="Q34" s="3">
        <f>O35*Q31</f>
        <v>92.100000000000023</v>
      </c>
      <c r="R34" s="35"/>
    </row>
    <row r="35" spans="2:18" ht="45.75" thickBot="1" x14ac:dyDescent="0.3">
      <c r="J35" s="125" t="s">
        <v>100</v>
      </c>
      <c r="K35" s="59">
        <f>D30*K34</f>
        <v>4351.8749999999982</v>
      </c>
      <c r="L35" s="18" t="s">
        <v>41</v>
      </c>
      <c r="N35" s="125" t="s">
        <v>120</v>
      </c>
      <c r="O35" s="143">
        <f>'front motion ratio'!C15</f>
        <v>1</v>
      </c>
      <c r="P35" s="37"/>
      <c r="Q35" s="37"/>
      <c r="R35" s="38"/>
    </row>
    <row r="37" spans="2:18" x14ac:dyDescent="0.25">
      <c r="N37" s="144"/>
    </row>
    <row r="38" spans="2:18" x14ac:dyDescent="0.25">
      <c r="N38" s="144"/>
    </row>
    <row r="39" spans="2:18" x14ac:dyDescent="0.25">
      <c r="N39" s="144"/>
    </row>
    <row r="44" spans="2:18" x14ac:dyDescent="0.25">
      <c r="O44" s="1"/>
    </row>
    <row r="45" spans="2:18" x14ac:dyDescent="0.25">
      <c r="O45" s="41"/>
    </row>
  </sheetData>
  <dataConsolidate/>
  <mergeCells count="17">
    <mergeCell ref="C11:D11"/>
    <mergeCell ref="G11:I11"/>
    <mergeCell ref="F2:H2"/>
    <mergeCell ref="P2:S2"/>
    <mergeCell ref="P3:S3"/>
    <mergeCell ref="F6:H6"/>
    <mergeCell ref="P7:S7"/>
    <mergeCell ref="B28:H28"/>
    <mergeCell ref="P14:S14"/>
    <mergeCell ref="G21:G22"/>
    <mergeCell ref="H21:H23"/>
    <mergeCell ref="N21:P21"/>
    <mergeCell ref="F22:F25"/>
    <mergeCell ref="G23:G25"/>
    <mergeCell ref="H24:H25"/>
    <mergeCell ref="N25:P25"/>
    <mergeCell ref="J21:L22"/>
  </mergeCells>
  <conditionalFormatting sqref="F26:H26">
    <cfRule type="cellIs" dxfId="27" priority="9" operator="equal">
      <formula>"OK"</formula>
    </cfRule>
    <cfRule type="cellIs" dxfId="26" priority="10" operator="equal">
      <formula>"KO"</formula>
    </cfRule>
  </conditionalFormatting>
  <conditionalFormatting sqref="K30">
    <cfRule type="expression" dxfId="25" priority="7">
      <formula>IF($K$30&lt;=$K$31,TRUE(),)</formula>
    </cfRule>
    <cfRule type="expression" dxfId="24" priority="8">
      <formula>IF($K$30&gt;$K$31,TRUE(),)</formula>
    </cfRule>
  </conditionalFormatting>
  <conditionalFormatting sqref="O27:O28">
    <cfRule type="expression" dxfId="23" priority="5">
      <formula>IF($O$27&lt;=$O$28,TRUE(),)</formula>
    </cfRule>
    <cfRule type="expression" dxfId="22" priority="6">
      <formula>IF($O$27&gt;$O$28,TRUE(),)</formula>
    </cfRule>
  </conditionalFormatting>
  <conditionalFormatting sqref="K32">
    <cfRule type="cellIs" dxfId="21" priority="3" operator="lessThan">
      <formula>5</formula>
    </cfRule>
    <cfRule type="cellIs" dxfId="20" priority="4" operator="greaterThanOrEqual">
      <formula>5</formula>
    </cfRule>
  </conditionalFormatting>
  <conditionalFormatting sqref="K34">
    <cfRule type="cellIs" dxfId="19" priority="1" operator="lessThan">
      <formula>$K$26+$D$16</formula>
    </cfRule>
    <cfRule type="cellIs" dxfId="18" priority="2" operator="greaterThanOrEqual">
      <formula>$K$26+$D$16</formula>
    </cfRule>
  </conditionalFormatting>
  <dataValidations disablePrompts="1" count="1">
    <dataValidation type="list" allowBlank="1" showInputMessage="1" showErrorMessage="1" sqref="E23" xr:uid="{00000000-0002-0000-0300-000000000000}">
      <formula1>$C$3:$C$9</formula1>
    </dataValidation>
  </dataValidations>
  <pageMargins left="0.7" right="0.7" top="0.75" bottom="0.75" header="0.3" footer="0.3"/>
  <pageSetup paperSize="9" scale="55" orientation="landscape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oglio6">
    <tabColor theme="8"/>
  </sheetPr>
  <dimension ref="B1:N33"/>
  <sheetViews>
    <sheetView zoomScaleNormal="100" workbookViewId="0">
      <selection activeCell="C22" sqref="C22"/>
    </sheetView>
  </sheetViews>
  <sheetFormatPr defaultRowHeight="15" x14ac:dyDescent="0.25"/>
  <cols>
    <col min="1" max="1" width="3.7109375" customWidth="1"/>
    <col min="2" max="2" width="33" bestFit="1" customWidth="1"/>
    <col min="3" max="3" width="7" style="146" bestFit="1" customWidth="1"/>
    <col min="4" max="4" width="7.5703125" style="146" bestFit="1" customWidth="1"/>
    <col min="6" max="6" width="33" bestFit="1" customWidth="1"/>
    <col min="7" max="7" width="7" style="146" bestFit="1" customWidth="1"/>
    <col min="8" max="8" width="7.5703125" style="146" bestFit="1" customWidth="1"/>
    <col min="10" max="10" width="20.5703125" bestFit="1" customWidth="1"/>
    <col min="15" max="15" width="15.7109375" customWidth="1"/>
  </cols>
  <sheetData>
    <row r="1" spans="2:14" ht="15.75" thickBot="1" x14ac:dyDescent="0.3"/>
    <row r="2" spans="2:14" ht="15.75" thickBot="1" x14ac:dyDescent="0.3">
      <c r="B2" s="298" t="s">
        <v>249</v>
      </c>
      <c r="C2" s="299"/>
      <c r="D2" s="300"/>
      <c r="F2" s="301" t="s">
        <v>13</v>
      </c>
      <c r="G2" s="302"/>
      <c r="H2" s="303"/>
      <c r="J2" s="4" t="s">
        <v>73</v>
      </c>
    </row>
    <row r="3" spans="2:14" x14ac:dyDescent="0.25">
      <c r="B3" s="2" t="s">
        <v>0</v>
      </c>
      <c r="C3" s="152">
        <f>'front motion ratio'!C3</f>
        <v>2250</v>
      </c>
      <c r="D3" s="149" t="s">
        <v>1</v>
      </c>
      <c r="F3" s="2" t="s">
        <v>0</v>
      </c>
      <c r="G3" s="152">
        <v>1350</v>
      </c>
      <c r="H3" s="149" t="s">
        <v>1</v>
      </c>
      <c r="J3" s="64" t="s">
        <v>74</v>
      </c>
      <c r="N3" s="1"/>
    </row>
    <row r="4" spans="2:14" x14ac:dyDescent="0.25">
      <c r="B4" s="2" t="s">
        <v>5</v>
      </c>
      <c r="C4" s="153">
        <v>0.5</v>
      </c>
      <c r="D4" s="149"/>
      <c r="F4" s="2" t="s">
        <v>5</v>
      </c>
      <c r="G4" s="153">
        <v>0.46</v>
      </c>
      <c r="H4" s="149"/>
      <c r="J4" s="61" t="s">
        <v>75</v>
      </c>
    </row>
    <row r="5" spans="2:14" x14ac:dyDescent="0.25">
      <c r="B5" s="2" t="s">
        <v>6</v>
      </c>
      <c r="C5" s="153">
        <v>0.5</v>
      </c>
      <c r="D5" s="149"/>
      <c r="F5" s="2" t="s">
        <v>6</v>
      </c>
      <c r="G5" s="153">
        <v>0.54</v>
      </c>
      <c r="H5" s="149"/>
      <c r="J5" s="65" t="s">
        <v>78</v>
      </c>
    </row>
    <row r="6" spans="2:14" x14ac:dyDescent="0.25">
      <c r="B6" s="2" t="s">
        <v>2</v>
      </c>
      <c r="C6" s="152">
        <f>'front motion ratio'!C6</f>
        <v>0</v>
      </c>
      <c r="D6" s="149" t="s">
        <v>1</v>
      </c>
      <c r="F6" s="2" t="s">
        <v>2</v>
      </c>
      <c r="G6" s="152">
        <v>75</v>
      </c>
      <c r="H6" s="149" t="s">
        <v>1</v>
      </c>
      <c r="J6" s="66" t="s">
        <v>79</v>
      </c>
    </row>
    <row r="7" spans="2:14" ht="15.75" thickBot="1" x14ac:dyDescent="0.3">
      <c r="B7" s="2" t="s">
        <v>3</v>
      </c>
      <c r="C7" s="154">
        <f>'front motion ratio'!C7</f>
        <v>0</v>
      </c>
      <c r="D7" s="149" t="s">
        <v>1</v>
      </c>
      <c r="F7" s="2" t="s">
        <v>3</v>
      </c>
      <c r="G7" s="154">
        <f>113*0.72/2</f>
        <v>40.68</v>
      </c>
      <c r="H7" s="149" t="s">
        <v>1</v>
      </c>
      <c r="J7" s="67" t="s">
        <v>80</v>
      </c>
    </row>
    <row r="8" spans="2:14" ht="15.75" thickBot="1" x14ac:dyDescent="0.3">
      <c r="B8" s="2"/>
      <c r="C8" s="155"/>
      <c r="D8" s="149"/>
      <c r="F8" s="2"/>
      <c r="G8" s="155"/>
      <c r="H8" s="149"/>
    </row>
    <row r="9" spans="2:14" x14ac:dyDescent="0.25">
      <c r="B9" s="2" t="s">
        <v>4</v>
      </c>
      <c r="C9" s="156">
        <f>C3+C6+C7</f>
        <v>2250</v>
      </c>
      <c r="D9" s="149" t="s">
        <v>1</v>
      </c>
      <c r="F9" s="2" t="s">
        <v>4</v>
      </c>
      <c r="G9" s="156">
        <f>G3+G6+G7</f>
        <v>1465.68</v>
      </c>
      <c r="H9" s="149" t="s">
        <v>1</v>
      </c>
      <c r="J9" s="304" t="s">
        <v>95</v>
      </c>
      <c r="K9" s="305"/>
      <c r="L9" s="306"/>
    </row>
    <row r="10" spans="2:14" x14ac:dyDescent="0.25">
      <c r="B10" s="2" t="s">
        <v>7</v>
      </c>
      <c r="C10" s="157">
        <f>C9*C4-C12</f>
        <v>985</v>
      </c>
      <c r="D10" s="149" t="s">
        <v>1</v>
      </c>
      <c r="F10" s="2" t="s">
        <v>7</v>
      </c>
      <c r="G10" s="157">
        <f>G9*G4</f>
        <v>674.21280000000002</v>
      </c>
      <c r="H10" s="149" t="s">
        <v>1</v>
      </c>
      <c r="J10" s="100" t="s">
        <v>107</v>
      </c>
      <c r="K10" s="3">
        <v>1</v>
      </c>
      <c r="L10" s="131">
        <f>C15</f>
        <v>1</v>
      </c>
    </row>
    <row r="11" spans="2:14" x14ac:dyDescent="0.25">
      <c r="B11" s="2" t="s">
        <v>8</v>
      </c>
      <c r="C11" s="157">
        <f>C9*C5-C13</f>
        <v>985</v>
      </c>
      <c r="D11" s="149" t="s">
        <v>1</v>
      </c>
      <c r="F11" s="2" t="s">
        <v>8</v>
      </c>
      <c r="G11" s="157">
        <f>G9*G5</f>
        <v>791.46720000000005</v>
      </c>
      <c r="H11" s="149" t="s">
        <v>1</v>
      </c>
      <c r="J11" s="100" t="s">
        <v>108</v>
      </c>
      <c r="K11" s="3">
        <v>2</v>
      </c>
      <c r="L11" s="131">
        <f>+L10</f>
        <v>1</v>
      </c>
    </row>
    <row r="12" spans="2:14" x14ac:dyDescent="0.25">
      <c r="B12" s="2" t="s">
        <v>17</v>
      </c>
      <c r="C12" s="152">
        <v>140</v>
      </c>
      <c r="D12" s="149" t="s">
        <v>1</v>
      </c>
      <c r="E12" t="s">
        <v>248</v>
      </c>
      <c r="F12" s="2" t="s">
        <v>17</v>
      </c>
      <c r="G12" s="152">
        <v>60</v>
      </c>
      <c r="H12" s="149" t="s">
        <v>1</v>
      </c>
      <c r="J12" s="100" t="s">
        <v>109</v>
      </c>
      <c r="K12" s="3">
        <v>3</v>
      </c>
      <c r="L12" s="131">
        <f>+L10</f>
        <v>1</v>
      </c>
    </row>
    <row r="13" spans="2:14" ht="15.75" thickBot="1" x14ac:dyDescent="0.3">
      <c r="B13" s="2" t="s">
        <v>18</v>
      </c>
      <c r="C13" s="152">
        <v>140</v>
      </c>
      <c r="D13" s="149" t="s">
        <v>1</v>
      </c>
      <c r="E13" t="s">
        <v>248</v>
      </c>
      <c r="F13" s="2" t="s">
        <v>18</v>
      </c>
      <c r="G13" s="152">
        <v>60</v>
      </c>
      <c r="H13" s="149" t="s">
        <v>1</v>
      </c>
      <c r="J13" s="101"/>
      <c r="K13" s="37"/>
      <c r="L13" s="104"/>
    </row>
    <row r="14" spans="2:14" ht="15.75" thickBot="1" x14ac:dyDescent="0.3">
      <c r="B14" s="2"/>
      <c r="D14" s="149"/>
      <c r="F14" s="2"/>
      <c r="H14" s="149"/>
    </row>
    <row r="15" spans="2:14" x14ac:dyDescent="0.25">
      <c r="B15" s="2" t="s">
        <v>103</v>
      </c>
      <c r="C15" s="158">
        <v>1</v>
      </c>
      <c r="D15" s="149"/>
      <c r="F15" s="2" t="s">
        <v>9</v>
      </c>
      <c r="G15" s="158">
        <v>1.68</v>
      </c>
      <c r="H15" s="149"/>
      <c r="J15" s="304" t="s">
        <v>92</v>
      </c>
      <c r="K15" s="305"/>
      <c r="L15" s="306"/>
    </row>
    <row r="16" spans="2:14" x14ac:dyDescent="0.25">
      <c r="B16" s="2" t="s">
        <v>104</v>
      </c>
      <c r="C16" s="152">
        <v>1.7</v>
      </c>
      <c r="D16" s="149" t="s">
        <v>11</v>
      </c>
      <c r="F16" s="2" t="s">
        <v>10</v>
      </c>
      <c r="G16" s="152">
        <v>2.4500000000000002</v>
      </c>
      <c r="H16" s="149" t="s">
        <v>11</v>
      </c>
      <c r="J16" s="100" t="s">
        <v>93</v>
      </c>
      <c r="K16" s="102">
        <v>140</v>
      </c>
      <c r="L16" s="35" t="s">
        <v>12</v>
      </c>
    </row>
    <row r="17" spans="2:12" ht="15.75" thickBot="1" x14ac:dyDescent="0.3">
      <c r="B17" s="2" t="s">
        <v>15</v>
      </c>
      <c r="C17" s="152">
        <v>250</v>
      </c>
      <c r="D17" s="149" t="s">
        <v>12</v>
      </c>
      <c r="F17" s="2" t="s">
        <v>15</v>
      </c>
      <c r="G17" s="152">
        <v>339</v>
      </c>
      <c r="H17" s="149" t="s">
        <v>12</v>
      </c>
      <c r="J17" s="101" t="s">
        <v>94</v>
      </c>
      <c r="K17" s="103">
        <v>150</v>
      </c>
      <c r="L17" s="38" t="s">
        <v>12</v>
      </c>
    </row>
    <row r="18" spans="2:12" x14ac:dyDescent="0.25">
      <c r="B18" s="2"/>
      <c r="D18" s="149"/>
      <c r="F18" s="2"/>
      <c r="H18" s="149"/>
    </row>
    <row r="19" spans="2:12" x14ac:dyDescent="0.25">
      <c r="B19" s="276" t="s">
        <v>14</v>
      </c>
      <c r="C19" s="157">
        <f>2*(PI()*C16*C15)^2*(C11-C13)/1000</f>
        <v>48.204134855360536</v>
      </c>
      <c r="D19" s="149" t="s">
        <v>12</v>
      </c>
      <c r="F19" s="2" t="s">
        <v>14</v>
      </c>
      <c r="G19" s="157">
        <f>2*(PI()*G16*G15)^2*G11/1000</f>
        <v>264.67528827091832</v>
      </c>
      <c r="H19" s="149" t="s">
        <v>12</v>
      </c>
    </row>
    <row r="20" spans="2:12" x14ac:dyDescent="0.25">
      <c r="B20" s="2" t="s">
        <v>16</v>
      </c>
      <c r="C20" s="157">
        <f>(2*(PI()*C16*C15)^2*(C11-C13)*C17*1000/(C17*1000-2*PI()^2*C16^2*(C11-C13)))/1000</f>
        <v>59.71893281957199</v>
      </c>
      <c r="D20" s="149" t="s">
        <v>12</v>
      </c>
      <c r="F20" s="2" t="s">
        <v>16</v>
      </c>
      <c r="G20" s="157">
        <f>(2*(PI()*G16*G15)^2*(G11-G13)*G17*1000/(G17*1000-2*PI()^2*G16^2*(G11-G13)))/1000</f>
        <v>328.62606625042713</v>
      </c>
      <c r="H20" s="149" t="s">
        <v>12</v>
      </c>
    </row>
    <row r="21" spans="2:12" x14ac:dyDescent="0.25">
      <c r="B21" s="2"/>
      <c r="D21" s="149"/>
      <c r="F21" s="2"/>
      <c r="H21" s="149"/>
    </row>
    <row r="22" spans="2:12" x14ac:dyDescent="0.25">
      <c r="B22" s="2" t="s">
        <v>16</v>
      </c>
      <c r="C22" s="154">
        <v>70</v>
      </c>
      <c r="D22" s="149" t="s">
        <v>12</v>
      </c>
      <c r="F22" s="2" t="s">
        <v>16</v>
      </c>
      <c r="G22" s="154">
        <v>330</v>
      </c>
      <c r="H22" s="149" t="s">
        <v>12</v>
      </c>
    </row>
    <row r="23" spans="2:12" x14ac:dyDescent="0.25">
      <c r="B23" s="2" t="s">
        <v>19</v>
      </c>
      <c r="C23" s="159">
        <f>1/(2*PI())*SQRT(1000*(C22/C15^2+C17)/(C13*0.5))</f>
        <v>10.760838185215222</v>
      </c>
      <c r="D23" s="149" t="s">
        <v>11</v>
      </c>
      <c r="F23" s="2" t="s">
        <v>19</v>
      </c>
      <c r="G23" s="159">
        <f>1/(2*PI())*SQRT(1000*(G22/G15^2+G17)/(G13*0.5))</f>
        <v>19.620255956058596</v>
      </c>
      <c r="H23" s="149" t="s">
        <v>11</v>
      </c>
    </row>
    <row r="24" spans="2:12" x14ac:dyDescent="0.25">
      <c r="B24" s="2" t="s">
        <v>180</v>
      </c>
      <c r="C24" s="160">
        <f>((C22/C15^2)^-1+C17^-1)^-1</f>
        <v>54.687499999999993</v>
      </c>
      <c r="D24" s="149" t="s">
        <v>12</v>
      </c>
      <c r="F24" s="2" t="s">
        <v>134</v>
      </c>
      <c r="G24" s="160">
        <f>((G22/G15^2)^-1+G17^-1)^-1</f>
        <v>86.937019270223303</v>
      </c>
      <c r="H24" s="149" t="s">
        <v>12</v>
      </c>
    </row>
    <row r="25" spans="2:12" ht="15.75" thickBot="1" x14ac:dyDescent="0.3">
      <c r="B25" s="49" t="s">
        <v>135</v>
      </c>
      <c r="C25" s="223">
        <f>C22/C15^2</f>
        <v>70</v>
      </c>
      <c r="D25" s="150" t="s">
        <v>12</v>
      </c>
      <c r="F25" s="49" t="s">
        <v>135</v>
      </c>
      <c r="G25" s="223">
        <f>G22/G15^2</f>
        <v>116.92176870748301</v>
      </c>
      <c r="H25" s="150" t="s">
        <v>12</v>
      </c>
    </row>
    <row r="27" spans="2:12" x14ac:dyDescent="0.25">
      <c r="B27" s="274" t="s">
        <v>255</v>
      </c>
      <c r="C27" s="275" t="s">
        <v>256</v>
      </c>
      <c r="D27" s="275"/>
    </row>
    <row r="28" spans="2:12" x14ac:dyDescent="0.25">
      <c r="B28" s="274" t="s">
        <v>258</v>
      </c>
      <c r="C28" s="275">
        <v>230</v>
      </c>
      <c r="D28" s="275" t="s">
        <v>259</v>
      </c>
    </row>
    <row r="29" spans="2:12" x14ac:dyDescent="0.25">
      <c r="B29" s="274" t="s">
        <v>260</v>
      </c>
      <c r="C29" s="275">
        <v>106</v>
      </c>
      <c r="D29" s="275" t="s">
        <v>259</v>
      </c>
    </row>
    <row r="30" spans="2:12" x14ac:dyDescent="0.25">
      <c r="B30" s="274" t="s">
        <v>253</v>
      </c>
      <c r="C30" s="275">
        <v>3.1</v>
      </c>
      <c r="D30" s="275" t="s">
        <v>257</v>
      </c>
    </row>
    <row r="31" spans="2:12" x14ac:dyDescent="0.25">
      <c r="B31" s="274" t="s">
        <v>254</v>
      </c>
      <c r="C31" s="275">
        <v>2.69</v>
      </c>
      <c r="D31" s="275" t="s">
        <v>257</v>
      </c>
    </row>
    <row r="33" spans="2:2" x14ac:dyDescent="0.25">
      <c r="B33" s="277" t="s">
        <v>261</v>
      </c>
    </row>
  </sheetData>
  <mergeCells count="4">
    <mergeCell ref="B2:D2"/>
    <mergeCell ref="F2:H2"/>
    <mergeCell ref="J15:L15"/>
    <mergeCell ref="J9:L9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oglio7">
    <tabColor theme="8"/>
  </sheetPr>
  <dimension ref="A1:Q15"/>
  <sheetViews>
    <sheetView topLeftCell="B1" zoomScale="115" zoomScaleNormal="115" workbookViewId="0">
      <selection activeCell="G23" sqref="G23"/>
    </sheetView>
  </sheetViews>
  <sheetFormatPr defaultColWidth="9.140625" defaultRowHeight="15" x14ac:dyDescent="0.25"/>
  <cols>
    <col min="1" max="1" width="2.42578125" style="146" hidden="1" customWidth="1"/>
    <col min="2" max="2" width="23" style="209" bestFit="1" customWidth="1"/>
    <col min="3" max="4" width="8.85546875" style="146" customWidth="1"/>
    <col min="5" max="5" width="19" style="146" bestFit="1" customWidth="1"/>
    <col min="6" max="6" width="9.140625" style="146"/>
    <col min="7" max="7" width="11.28515625" style="146" customWidth="1"/>
    <col min="8" max="8" width="11.140625" style="146" bestFit="1" customWidth="1"/>
    <col min="9" max="12" width="9.140625" style="146"/>
    <col min="13" max="13" width="20.5703125" style="146" bestFit="1" customWidth="1"/>
    <col min="14" max="16384" width="9.140625" style="146"/>
  </cols>
  <sheetData>
    <row r="1" spans="1:17" ht="15.75" thickBot="1" x14ac:dyDescent="0.3">
      <c r="G1" s="307" t="s">
        <v>101</v>
      </c>
      <c r="H1" s="308"/>
      <c r="I1" s="308"/>
      <c r="J1" s="308"/>
      <c r="K1" s="309"/>
      <c r="M1" s="198" t="s">
        <v>73</v>
      </c>
    </row>
    <row r="2" spans="1:17" x14ac:dyDescent="0.25">
      <c r="B2" s="210" t="s">
        <v>70</v>
      </c>
      <c r="C2" s="180">
        <f>C3+C4</f>
        <v>90</v>
      </c>
      <c r="D2" s="148" t="s">
        <v>43</v>
      </c>
      <c r="E2" s="198" t="s">
        <v>72</v>
      </c>
      <c r="G2" s="21"/>
      <c r="H2" s="172" t="s">
        <v>76</v>
      </c>
      <c r="I2" s="172" t="s">
        <v>112</v>
      </c>
      <c r="J2" s="172"/>
      <c r="K2" s="173"/>
      <c r="M2" s="205" t="s">
        <v>74</v>
      </c>
      <c r="O2" s="310"/>
      <c r="P2" s="310"/>
      <c r="Q2" s="310"/>
    </row>
    <row r="3" spans="1:17" x14ac:dyDescent="0.25">
      <c r="B3" s="211" t="s">
        <v>39</v>
      </c>
      <c r="C3" s="181">
        <v>30</v>
      </c>
      <c r="D3" s="149" t="s">
        <v>43</v>
      </c>
      <c r="E3" s="199">
        <v>0</v>
      </c>
      <c r="G3" s="21" t="s">
        <v>107</v>
      </c>
      <c r="H3" s="189">
        <v>0</v>
      </c>
      <c r="I3" s="48">
        <v>0</v>
      </c>
      <c r="J3" s="58"/>
      <c r="K3" s="17" t="s">
        <v>43</v>
      </c>
      <c r="M3" s="199" t="s">
        <v>75</v>
      </c>
    </row>
    <row r="4" spans="1:17" ht="15.75" thickBot="1" x14ac:dyDescent="0.3">
      <c r="B4" s="212" t="s">
        <v>106</v>
      </c>
      <c r="C4" s="182">
        <v>60</v>
      </c>
      <c r="D4" s="150" t="s">
        <v>43</v>
      </c>
      <c r="E4" s="200">
        <v>0</v>
      </c>
      <c r="G4" s="21" t="s">
        <v>108</v>
      </c>
      <c r="H4" s="189">
        <v>0</v>
      </c>
      <c r="I4" s="57">
        <f>I3+H4</f>
        <v>0</v>
      </c>
      <c r="J4" s="58"/>
      <c r="K4" s="17" t="s">
        <v>43</v>
      </c>
      <c r="L4" s="155"/>
      <c r="M4" s="206" t="s">
        <v>78</v>
      </c>
    </row>
    <row r="5" spans="1:17" ht="15.75" thickBot="1" x14ac:dyDescent="0.3">
      <c r="G5" s="25" t="s">
        <v>109</v>
      </c>
      <c r="H5" s="190">
        <v>0</v>
      </c>
      <c r="I5" s="59">
        <f>I4+H5</f>
        <v>0</v>
      </c>
      <c r="J5" s="60"/>
      <c r="K5" s="18" t="s">
        <v>43</v>
      </c>
      <c r="L5" s="155"/>
      <c r="M5" s="207" t="s">
        <v>79</v>
      </c>
    </row>
    <row r="6" spans="1:17" ht="15.75" thickBot="1" x14ac:dyDescent="0.3">
      <c r="B6" s="210" t="s">
        <v>111</v>
      </c>
      <c r="C6" s="180">
        <f>'front wheel travel'!C7</f>
        <v>704.9</v>
      </c>
      <c r="D6" s="148" t="s">
        <v>43</v>
      </c>
      <c r="M6" s="208" t="s">
        <v>80</v>
      </c>
    </row>
    <row r="7" spans="1:17" ht="36.75" x14ac:dyDescent="0.25">
      <c r="B7" s="211" t="s">
        <v>110</v>
      </c>
      <c r="C7" s="181">
        <f>'front wheel travel'!C8</f>
        <v>640</v>
      </c>
      <c r="D7" s="149" t="s">
        <v>43</v>
      </c>
      <c r="G7" s="201" t="s">
        <v>77</v>
      </c>
      <c r="H7" s="56">
        <f>0+H8</f>
        <v>0</v>
      </c>
      <c r="I7" s="191" t="s">
        <v>43</v>
      </c>
    </row>
    <row r="8" spans="1:17" ht="49.5" thickBot="1" x14ac:dyDescent="0.3">
      <c r="B8" s="212" t="s">
        <v>71</v>
      </c>
      <c r="C8" s="161">
        <f>(C6-C7)/2</f>
        <v>32.449999999999989</v>
      </c>
      <c r="D8" s="150" t="s">
        <v>43</v>
      </c>
      <c r="G8" s="202" t="s">
        <v>91</v>
      </c>
      <c r="H8" s="62">
        <v>0</v>
      </c>
      <c r="I8" s="192" t="s">
        <v>43</v>
      </c>
    </row>
    <row r="10" spans="1:17" ht="15.75" thickBot="1" x14ac:dyDescent="0.3"/>
    <row r="11" spans="1:17" ht="15.75" thickBot="1" x14ac:dyDescent="0.3">
      <c r="C11" s="311" t="s">
        <v>26</v>
      </c>
      <c r="D11" s="312"/>
      <c r="E11" s="313"/>
      <c r="F11" s="145"/>
      <c r="H11" s="311" t="s">
        <v>27</v>
      </c>
      <c r="I11" s="312"/>
      <c r="J11" s="313"/>
      <c r="K11" s="145"/>
      <c r="N11" s="314"/>
      <c r="O11" s="314"/>
      <c r="P11" s="145"/>
      <c r="Q11" s="145"/>
    </row>
    <row r="12" spans="1:17" ht="15.75" thickBot="1" x14ac:dyDescent="0.3">
      <c r="C12" s="169" t="s">
        <v>20</v>
      </c>
      <c r="D12" s="170" t="s">
        <v>21</v>
      </c>
      <c r="E12" s="171" t="s">
        <v>22</v>
      </c>
      <c r="F12" s="145"/>
      <c r="H12" s="169" t="s">
        <v>20</v>
      </c>
      <c r="I12" s="170" t="s">
        <v>21</v>
      </c>
      <c r="J12" s="171" t="s">
        <v>22</v>
      </c>
      <c r="K12" s="145"/>
      <c r="N12" s="145"/>
      <c r="O12" s="145"/>
      <c r="P12" s="145"/>
      <c r="Q12" s="145"/>
    </row>
    <row r="13" spans="1:17" x14ac:dyDescent="0.25">
      <c r="A13" s="146">
        <v>1</v>
      </c>
      <c r="B13" s="213" t="s">
        <v>107</v>
      </c>
      <c r="C13" s="183">
        <f>C14</f>
        <v>90</v>
      </c>
      <c r="D13" s="184">
        <f>C13-E13</f>
        <v>60</v>
      </c>
      <c r="E13" s="193">
        <f>E14+H4</f>
        <v>30</v>
      </c>
      <c r="G13" s="198" t="s">
        <v>23</v>
      </c>
      <c r="H13" s="183">
        <f>C13/'rear motion ratio'!$C$15</f>
        <v>90</v>
      </c>
      <c r="I13" s="184">
        <f>D13/'rear motion ratio'!$C$15</f>
        <v>60</v>
      </c>
      <c r="J13" s="193">
        <f>E13/'rear motion ratio'!$C$15</f>
        <v>30</v>
      </c>
      <c r="M13" s="145"/>
      <c r="N13" s="155"/>
      <c r="O13" s="155"/>
      <c r="P13" s="155"/>
      <c r="Q13" s="155"/>
    </row>
    <row r="14" spans="1:17" x14ac:dyDescent="0.25">
      <c r="A14" s="146">
        <v>2</v>
      </c>
      <c r="B14" s="214" t="s">
        <v>108</v>
      </c>
      <c r="C14" s="185">
        <f>D14+E14</f>
        <v>90</v>
      </c>
      <c r="D14" s="186">
        <f>C4-E4-H8</f>
        <v>60</v>
      </c>
      <c r="E14" s="195">
        <f>E15</f>
        <v>30</v>
      </c>
      <c r="G14" s="203" t="s">
        <v>24</v>
      </c>
      <c r="H14" s="194">
        <f>C14/'rear motion ratio'!$C$15</f>
        <v>90</v>
      </c>
      <c r="I14" s="186">
        <f>D14/'rear motion ratio'!$C$15</f>
        <v>60</v>
      </c>
      <c r="J14" s="195">
        <f>E14/'rear motion ratio'!$C$15</f>
        <v>30</v>
      </c>
      <c r="M14" s="145"/>
      <c r="N14" s="155"/>
      <c r="O14" s="155"/>
      <c r="P14" s="155"/>
      <c r="Q14" s="155"/>
    </row>
    <row r="15" spans="1:17" ht="15.75" thickBot="1" x14ac:dyDescent="0.3">
      <c r="A15" s="146">
        <v>3</v>
      </c>
      <c r="B15" s="215" t="s">
        <v>109</v>
      </c>
      <c r="C15" s="187">
        <f>D15+E15</f>
        <v>90</v>
      </c>
      <c r="D15" s="188">
        <f>C2-E3-E4-E15</f>
        <v>60</v>
      </c>
      <c r="E15" s="197">
        <f>C3-E3+H8-H5</f>
        <v>30</v>
      </c>
      <c r="G15" s="204" t="s">
        <v>25</v>
      </c>
      <c r="H15" s="196">
        <f>C15/'rear motion ratio'!$C$15</f>
        <v>90</v>
      </c>
      <c r="I15" s="188">
        <f>D15/'rear motion ratio'!$C$15</f>
        <v>60</v>
      </c>
      <c r="J15" s="197">
        <f>E15/'rear motion ratio'!$C$15</f>
        <v>30</v>
      </c>
      <c r="M15" s="145"/>
      <c r="N15" s="155"/>
      <c r="O15" s="155"/>
      <c r="P15" s="155"/>
      <c r="Q15" s="155"/>
    </row>
  </sheetData>
  <mergeCells count="5">
    <mergeCell ref="G1:K1"/>
    <mergeCell ref="H11:J11"/>
    <mergeCell ref="C11:E11"/>
    <mergeCell ref="N11:O11"/>
    <mergeCell ref="O2:Q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oglio8">
    <tabColor theme="8"/>
    <pageSetUpPr fitToPage="1"/>
  </sheetPr>
  <dimension ref="A1:S355"/>
  <sheetViews>
    <sheetView zoomScaleNormal="100" workbookViewId="0">
      <pane xSplit="1" ySplit="10" topLeftCell="B134" activePane="bottomRight" state="frozen"/>
      <selection activeCell="F141" sqref="F141"/>
      <selection pane="topRight" activeCell="F141" sqref="F141"/>
      <selection pane="bottomLeft" activeCell="F141" sqref="F141"/>
      <selection pane="bottomRight" activeCell="A10" sqref="A10"/>
    </sheetView>
  </sheetViews>
  <sheetFormatPr defaultRowHeight="15" x14ac:dyDescent="0.25"/>
  <cols>
    <col min="1" max="1" width="20.85546875" bestFit="1" customWidth="1"/>
    <col min="2" max="2" width="9" customWidth="1"/>
    <col min="3" max="3" width="11.42578125" bestFit="1" customWidth="1"/>
    <col min="4" max="4" width="8.7109375" customWidth="1"/>
    <col min="5" max="5" width="8.28515625" customWidth="1"/>
    <col min="6" max="6" width="16.42578125" bestFit="1" customWidth="1"/>
    <col min="7" max="8" width="9" bestFit="1" customWidth="1"/>
    <col min="9" max="9" width="13.140625" customWidth="1"/>
    <col min="10" max="10" width="11.42578125" bestFit="1" customWidth="1"/>
    <col min="11" max="11" width="10.28515625" bestFit="1" customWidth="1"/>
    <col min="12" max="12" width="12.28515625" customWidth="1"/>
    <col min="13" max="13" width="9.7109375" customWidth="1"/>
    <col min="14" max="14" width="10.140625" bestFit="1" customWidth="1"/>
    <col min="15" max="15" width="15.85546875" bestFit="1" customWidth="1"/>
    <col min="17" max="17" width="21.5703125" bestFit="1" customWidth="1"/>
  </cols>
  <sheetData>
    <row r="1" spans="1:17" ht="15.75" thickBot="1" x14ac:dyDescent="0.3"/>
    <row r="2" spans="1:17" ht="15.75" thickBot="1" x14ac:dyDescent="0.3">
      <c r="A2" s="44" t="s">
        <v>114</v>
      </c>
      <c r="B2" s="50">
        <f>'rear motion ratio'!C11</f>
        <v>985</v>
      </c>
      <c r="C2" t="s">
        <v>1</v>
      </c>
      <c r="G2" s="311" t="s">
        <v>26</v>
      </c>
      <c r="H2" s="312"/>
      <c r="I2" s="313"/>
      <c r="L2" s="311" t="s">
        <v>27</v>
      </c>
      <c r="M2" s="312"/>
      <c r="N2" s="313"/>
      <c r="Q2" s="4" t="s">
        <v>73</v>
      </c>
    </row>
    <row r="3" spans="1:17" ht="15.75" thickBot="1" x14ac:dyDescent="0.3">
      <c r="A3" s="42" t="s">
        <v>42</v>
      </c>
      <c r="B3" s="51">
        <f>VLOOKUP(E4,'rear motion ratio'!$K$10:$L$13,2,FALSE)</f>
        <v>1</v>
      </c>
      <c r="G3" s="7" t="s">
        <v>20</v>
      </c>
      <c r="H3" s="8" t="s">
        <v>21</v>
      </c>
      <c r="I3" s="9" t="s">
        <v>22</v>
      </c>
      <c r="L3" s="7" t="s">
        <v>20</v>
      </c>
      <c r="M3" s="8" t="s">
        <v>21</v>
      </c>
      <c r="N3" s="9" t="s">
        <v>22</v>
      </c>
      <c r="Q3" s="64" t="s">
        <v>74</v>
      </c>
    </row>
    <row r="4" spans="1:17" ht="15.75" thickBot="1" x14ac:dyDescent="0.3">
      <c r="E4" s="99">
        <v>1</v>
      </c>
      <c r="F4" s="98" t="str">
        <f>VLOOKUP($E$4,'rear wheel travel'!$A$13:$E$15,2)</f>
        <v>Race</v>
      </c>
      <c r="G4" s="96">
        <f>VLOOKUP($E$4,'rear wheel travel'!$A$13:$E$15,3)</f>
        <v>90</v>
      </c>
      <c r="H4" s="96">
        <f>VLOOKUP($E$4,'rear wheel travel'!$A$13:$E$15,4)</f>
        <v>60</v>
      </c>
      <c r="I4" s="97">
        <f>VLOOKUP($E$4,'rear wheel travel'!$A$13:$E$15,5)</f>
        <v>30</v>
      </c>
      <c r="K4" s="98" t="str">
        <f>F4</f>
        <v>Race</v>
      </c>
      <c r="L4" s="96">
        <f>I8-H8</f>
        <v>91.399999999999977</v>
      </c>
      <c r="M4" s="96">
        <f>G8-H8</f>
        <v>62.199999999999989</v>
      </c>
      <c r="N4" s="96">
        <f>I8-G8</f>
        <v>29.199999999999989</v>
      </c>
      <c r="Q4" s="61" t="s">
        <v>75</v>
      </c>
    </row>
    <row r="5" spans="1:17" ht="15.75" thickBot="1" x14ac:dyDescent="0.3">
      <c r="F5" s="42"/>
      <c r="G5" s="1"/>
      <c r="H5" s="1"/>
      <c r="I5" s="1"/>
      <c r="K5" s="42"/>
      <c r="L5" s="1"/>
      <c r="M5" s="1"/>
      <c r="N5" s="1"/>
      <c r="Q5" s="65" t="s">
        <v>78</v>
      </c>
    </row>
    <row r="6" spans="1:17" ht="15.75" thickBot="1" x14ac:dyDescent="0.3">
      <c r="F6" s="42"/>
      <c r="G6" s="311" t="s">
        <v>182</v>
      </c>
      <c r="H6" s="312"/>
      <c r="I6" s="312"/>
      <c r="J6" s="313"/>
      <c r="K6" s="42"/>
      <c r="L6" s="42"/>
      <c r="M6" s="1"/>
      <c r="N6" s="1"/>
      <c r="Q6" s="66" t="s">
        <v>79</v>
      </c>
    </row>
    <row r="7" spans="1:17" x14ac:dyDescent="0.25">
      <c r="G7" s="232" t="s">
        <v>181</v>
      </c>
      <c r="H7" s="231" t="s">
        <v>183</v>
      </c>
      <c r="I7" s="231" t="s">
        <v>184</v>
      </c>
      <c r="J7" s="233" t="s">
        <v>185</v>
      </c>
      <c r="K7" s="42"/>
      <c r="Q7" s="126" t="s">
        <v>80</v>
      </c>
    </row>
    <row r="8" spans="1:17" ht="15.75" thickBot="1" x14ac:dyDescent="0.3">
      <c r="G8" s="234">
        <v>400.8</v>
      </c>
      <c r="H8" s="235">
        <v>338.6</v>
      </c>
      <c r="I8" s="235">
        <v>430</v>
      </c>
      <c r="J8" s="236">
        <v>458.5</v>
      </c>
      <c r="K8" s="42"/>
      <c r="Q8" s="127" t="s">
        <v>102</v>
      </c>
    </row>
    <row r="10" spans="1:17" s="10" customFormat="1" ht="60" x14ac:dyDescent="0.25">
      <c r="B10" s="12" t="s">
        <v>87</v>
      </c>
      <c r="C10" s="12" t="s">
        <v>32</v>
      </c>
      <c r="D10" s="12" t="s">
        <v>29</v>
      </c>
      <c r="E10" s="12" t="s">
        <v>30</v>
      </c>
      <c r="F10" s="12" t="s">
        <v>31</v>
      </c>
      <c r="G10" s="12" t="s">
        <v>28</v>
      </c>
      <c r="H10" s="12" t="s">
        <v>36</v>
      </c>
      <c r="I10" s="13" t="s">
        <v>106</v>
      </c>
      <c r="J10" s="13" t="s">
        <v>143</v>
      </c>
      <c r="K10" s="13" t="s">
        <v>37</v>
      </c>
      <c r="L10" s="11" t="s">
        <v>38</v>
      </c>
      <c r="M10" s="11" t="s">
        <v>39</v>
      </c>
      <c r="O10" s="11" t="s">
        <v>178</v>
      </c>
      <c r="P10" s="144" t="s">
        <v>179</v>
      </c>
    </row>
    <row r="11" spans="1:17" x14ac:dyDescent="0.25">
      <c r="A11" s="315" t="s">
        <v>33</v>
      </c>
      <c r="B11" s="68">
        <v>1</v>
      </c>
      <c r="C11" s="68">
        <v>60110178</v>
      </c>
      <c r="D11" s="68">
        <v>210</v>
      </c>
      <c r="E11" s="91">
        <v>8.25</v>
      </c>
      <c r="F11" s="68">
        <v>128</v>
      </c>
      <c r="G11" s="68">
        <v>30</v>
      </c>
      <c r="H11" s="68">
        <f t="shared" ref="H11:H42" si="0">$B$2/2*9.81*$B$3/G11</f>
        <v>161.04750000000001</v>
      </c>
      <c r="I11" s="87">
        <f>F11-H11</f>
        <v>-33.047500000000014</v>
      </c>
      <c r="J11" s="1">
        <f>I11-$M$4</f>
        <v>-95.247500000000002</v>
      </c>
      <c r="K11" t="str">
        <f>IF(J11&lt;=0,"KO","OK")</f>
        <v>KO</v>
      </c>
      <c r="L11" s="1">
        <f>D11-H11</f>
        <v>48.952499999999986</v>
      </c>
      <c r="M11" s="1">
        <f>D11-L11</f>
        <v>161.04750000000001</v>
      </c>
      <c r="O11" s="160">
        <f>G11/$B$3^2</f>
        <v>30</v>
      </c>
      <c r="P11" s="51">
        <f>G11*I11/$B$3/($B$2*9.81*0.5)</f>
        <v>-0.20520343376954012</v>
      </c>
      <c r="Q11" s="87"/>
    </row>
    <row r="12" spans="1:17" x14ac:dyDescent="0.25">
      <c r="A12" s="315"/>
      <c r="B12" s="68">
        <v>2</v>
      </c>
      <c r="C12" s="68">
        <v>60110132</v>
      </c>
      <c r="D12" s="68">
        <v>170</v>
      </c>
      <c r="E12" s="91">
        <v>8.25</v>
      </c>
      <c r="F12" s="68">
        <v>103</v>
      </c>
      <c r="G12" s="68">
        <v>40</v>
      </c>
      <c r="H12" s="68">
        <f t="shared" si="0"/>
        <v>120.78562500000001</v>
      </c>
      <c r="I12" s="1">
        <f t="shared" ref="I12:I75" si="1">F12-H12</f>
        <v>-17.78562500000001</v>
      </c>
      <c r="J12" s="1">
        <f t="shared" ref="J12:J75" si="2">I12-$M$4</f>
        <v>-79.985624999999999</v>
      </c>
      <c r="K12" t="str">
        <f t="shared" ref="K12:K75" si="3">IF(J12&lt;=0,"KO","OK")</f>
        <v>KO</v>
      </c>
      <c r="L12" s="1">
        <f t="shared" ref="L12:L75" si="4">D12-H12</f>
        <v>49.21437499999999</v>
      </c>
      <c r="M12" s="1">
        <f t="shared" ref="M12:M75" si="5">D12-L12</f>
        <v>120.78562500000001</v>
      </c>
      <c r="O12" s="160">
        <f t="shared" ref="O12:O75" si="6">G12/$B$3^2</f>
        <v>40</v>
      </c>
      <c r="P12" s="51">
        <f t="shared" ref="P12:P75" si="7">G12*I12/$B$3/($B$2*9.81*0.5)</f>
        <v>-0.1472495174819024</v>
      </c>
      <c r="Q12" s="87"/>
    </row>
    <row r="13" spans="1:17" x14ac:dyDescent="0.25">
      <c r="A13" s="315"/>
      <c r="B13" s="68">
        <v>3</v>
      </c>
      <c r="C13" s="68">
        <v>60110133</v>
      </c>
      <c r="D13" s="68">
        <v>190</v>
      </c>
      <c r="E13" s="91">
        <v>8.75</v>
      </c>
      <c r="F13" s="68">
        <v>108</v>
      </c>
      <c r="G13" s="68">
        <v>40</v>
      </c>
      <c r="H13" s="68">
        <f t="shared" si="0"/>
        <v>120.78562500000001</v>
      </c>
      <c r="I13" s="1">
        <f t="shared" si="1"/>
        <v>-12.78562500000001</v>
      </c>
      <c r="J13" s="1">
        <f t="shared" si="2"/>
        <v>-74.985624999999999</v>
      </c>
      <c r="K13" t="str">
        <f t="shared" si="3"/>
        <v>KO</v>
      </c>
      <c r="L13" s="1">
        <f t="shared" si="4"/>
        <v>69.21437499999999</v>
      </c>
      <c r="M13" s="1">
        <f t="shared" si="5"/>
        <v>120.78562500000001</v>
      </c>
      <c r="O13" s="160">
        <f t="shared" si="6"/>
        <v>40</v>
      </c>
      <c r="P13" s="51">
        <f t="shared" si="7"/>
        <v>-0.10585386299073263</v>
      </c>
      <c r="Q13" s="87"/>
    </row>
    <row r="14" spans="1:17" x14ac:dyDescent="0.25">
      <c r="A14" s="315"/>
      <c r="B14" s="68">
        <v>4</v>
      </c>
      <c r="C14" s="68">
        <v>60110134</v>
      </c>
      <c r="D14" s="68">
        <v>230</v>
      </c>
      <c r="E14" s="91">
        <v>9.25</v>
      </c>
      <c r="F14" s="68">
        <v>127</v>
      </c>
      <c r="G14" s="68">
        <v>40</v>
      </c>
      <c r="H14" s="68">
        <f t="shared" si="0"/>
        <v>120.78562500000001</v>
      </c>
      <c r="I14" s="1">
        <f t="shared" si="1"/>
        <v>6.2143749999999898</v>
      </c>
      <c r="J14" s="1">
        <f t="shared" si="2"/>
        <v>-55.985624999999999</v>
      </c>
      <c r="K14" t="str">
        <f t="shared" si="3"/>
        <v>KO</v>
      </c>
      <c r="L14" s="1">
        <f t="shared" si="4"/>
        <v>109.21437499999999</v>
      </c>
      <c r="M14" s="1">
        <f t="shared" si="5"/>
        <v>120.78562500000001</v>
      </c>
      <c r="O14" s="160">
        <f t="shared" si="6"/>
        <v>40</v>
      </c>
      <c r="P14" s="51">
        <f t="shared" si="7"/>
        <v>5.1449624075712568E-2</v>
      </c>
      <c r="Q14" s="87"/>
    </row>
    <row r="15" spans="1:17" x14ac:dyDescent="0.25">
      <c r="A15" s="315"/>
      <c r="B15" s="68">
        <v>5</v>
      </c>
      <c r="C15" s="68">
        <v>60110147</v>
      </c>
      <c r="D15" s="68">
        <v>290</v>
      </c>
      <c r="E15" s="91">
        <v>9.75</v>
      </c>
      <c r="F15" s="68">
        <v>162</v>
      </c>
      <c r="G15" s="68">
        <v>40</v>
      </c>
      <c r="H15" s="68">
        <f t="shared" si="0"/>
        <v>120.78562500000001</v>
      </c>
      <c r="I15" s="1">
        <f t="shared" si="1"/>
        <v>41.21437499999999</v>
      </c>
      <c r="J15" s="1">
        <f t="shared" si="2"/>
        <v>-20.985624999999999</v>
      </c>
      <c r="K15" t="str">
        <f t="shared" si="3"/>
        <v>KO</v>
      </c>
      <c r="L15" s="1">
        <f t="shared" si="4"/>
        <v>169.21437499999999</v>
      </c>
      <c r="M15" s="1">
        <f t="shared" si="5"/>
        <v>120.78562500000001</v>
      </c>
      <c r="O15" s="160">
        <f t="shared" si="6"/>
        <v>40</v>
      </c>
      <c r="P15" s="51">
        <f t="shared" si="7"/>
        <v>0.34121920551390106</v>
      </c>
      <c r="Q15" s="87"/>
    </row>
    <row r="16" spans="1:17" x14ac:dyDescent="0.25">
      <c r="A16" s="315"/>
      <c r="B16" s="68">
        <v>6</v>
      </c>
      <c r="C16" s="68">
        <v>60110135</v>
      </c>
      <c r="D16" s="68">
        <v>310</v>
      </c>
      <c r="E16" s="91">
        <v>10</v>
      </c>
      <c r="F16" s="68">
        <v>165</v>
      </c>
      <c r="G16" s="68">
        <v>40</v>
      </c>
      <c r="H16" s="68">
        <f t="shared" si="0"/>
        <v>120.78562500000001</v>
      </c>
      <c r="I16" s="1">
        <f t="shared" si="1"/>
        <v>44.21437499999999</v>
      </c>
      <c r="J16" s="1">
        <f t="shared" si="2"/>
        <v>-17.985624999999999</v>
      </c>
      <c r="K16" t="str">
        <f t="shared" si="3"/>
        <v>KO</v>
      </c>
      <c r="L16" s="1">
        <f t="shared" si="4"/>
        <v>189.21437499999999</v>
      </c>
      <c r="M16" s="1">
        <f t="shared" si="5"/>
        <v>120.78562500000001</v>
      </c>
      <c r="O16" s="160">
        <f t="shared" si="6"/>
        <v>40</v>
      </c>
      <c r="P16" s="51">
        <f t="shared" si="7"/>
        <v>0.36605659820860298</v>
      </c>
      <c r="Q16" s="87"/>
    </row>
    <row r="17" spans="1:17" x14ac:dyDescent="0.25">
      <c r="A17" s="315"/>
      <c r="B17" s="68">
        <v>7</v>
      </c>
      <c r="C17" s="68">
        <v>60110111</v>
      </c>
      <c r="D17" s="68">
        <v>140</v>
      </c>
      <c r="E17" s="91">
        <v>8.5</v>
      </c>
      <c r="F17" s="68">
        <v>81</v>
      </c>
      <c r="G17" s="68">
        <v>50</v>
      </c>
      <c r="H17" s="68">
        <f t="shared" si="0"/>
        <v>96.628500000000003</v>
      </c>
      <c r="I17" s="1">
        <f t="shared" si="1"/>
        <v>-15.628500000000003</v>
      </c>
      <c r="J17" s="1">
        <f t="shared" si="2"/>
        <v>-77.828499999999991</v>
      </c>
      <c r="K17" t="str">
        <f t="shared" si="3"/>
        <v>KO</v>
      </c>
      <c r="L17" s="1">
        <f t="shared" si="4"/>
        <v>43.371499999999997</v>
      </c>
      <c r="M17" s="1">
        <f t="shared" si="5"/>
        <v>96.628500000000003</v>
      </c>
      <c r="O17" s="160">
        <f t="shared" si="6"/>
        <v>50</v>
      </c>
      <c r="P17" s="51">
        <f t="shared" si="7"/>
        <v>-0.1617379965538118</v>
      </c>
      <c r="Q17" s="87"/>
    </row>
    <row r="18" spans="1:17" x14ac:dyDescent="0.25">
      <c r="A18" s="315"/>
      <c r="B18" s="68">
        <v>8</v>
      </c>
      <c r="C18" s="68">
        <v>60110131</v>
      </c>
      <c r="D18" s="68">
        <v>170</v>
      </c>
      <c r="E18" s="91">
        <v>9</v>
      </c>
      <c r="F18" s="68">
        <v>92</v>
      </c>
      <c r="G18" s="68">
        <v>50</v>
      </c>
      <c r="H18" s="68">
        <f t="shared" si="0"/>
        <v>96.628500000000003</v>
      </c>
      <c r="I18" s="1">
        <f t="shared" si="1"/>
        <v>-4.6285000000000025</v>
      </c>
      <c r="J18" s="1">
        <f t="shared" si="2"/>
        <v>-66.828499999999991</v>
      </c>
      <c r="K18" t="str">
        <f t="shared" si="3"/>
        <v>KO</v>
      </c>
      <c r="L18" s="1">
        <f t="shared" si="4"/>
        <v>73.371499999999997</v>
      </c>
      <c r="M18" s="1">
        <f t="shared" si="5"/>
        <v>96.628500000000003</v>
      </c>
      <c r="O18" s="160">
        <f t="shared" si="6"/>
        <v>50</v>
      </c>
      <c r="P18" s="51">
        <f t="shared" si="7"/>
        <v>-4.7899946703094866E-2</v>
      </c>
      <c r="Q18" s="87"/>
    </row>
    <row r="19" spans="1:17" x14ac:dyDescent="0.25">
      <c r="A19" s="315"/>
      <c r="B19" s="68">
        <v>9</v>
      </c>
      <c r="C19" s="68">
        <v>60110136</v>
      </c>
      <c r="D19" s="68">
        <v>190</v>
      </c>
      <c r="E19" s="91">
        <v>9.25</v>
      </c>
      <c r="F19" s="68">
        <v>105</v>
      </c>
      <c r="G19" s="68">
        <v>50</v>
      </c>
      <c r="H19" s="68">
        <f t="shared" si="0"/>
        <v>96.628500000000003</v>
      </c>
      <c r="I19" s="1">
        <f t="shared" si="1"/>
        <v>8.3714999999999975</v>
      </c>
      <c r="J19" s="1">
        <f t="shared" si="2"/>
        <v>-53.828499999999991</v>
      </c>
      <c r="K19" t="str">
        <f t="shared" si="3"/>
        <v>KO</v>
      </c>
      <c r="L19" s="1">
        <f t="shared" si="4"/>
        <v>93.371499999999997</v>
      </c>
      <c r="M19" s="1">
        <f t="shared" si="5"/>
        <v>96.628500000000003</v>
      </c>
      <c r="O19" s="160">
        <f t="shared" si="6"/>
        <v>50</v>
      </c>
      <c r="P19" s="51">
        <f t="shared" si="7"/>
        <v>8.6635930393206939E-2</v>
      </c>
      <c r="Q19" s="87"/>
    </row>
    <row r="20" spans="1:17" x14ac:dyDescent="0.25">
      <c r="A20" s="315"/>
      <c r="B20" s="68">
        <v>10</v>
      </c>
      <c r="C20" s="68">
        <v>60110175</v>
      </c>
      <c r="D20" s="68">
        <v>210</v>
      </c>
      <c r="E20" s="91">
        <v>9.5</v>
      </c>
      <c r="F20" s="68">
        <v>118</v>
      </c>
      <c r="G20" s="68">
        <v>50</v>
      </c>
      <c r="H20" s="68">
        <f t="shared" si="0"/>
        <v>96.628500000000003</v>
      </c>
      <c r="I20" s="1">
        <f t="shared" si="1"/>
        <v>21.371499999999997</v>
      </c>
      <c r="J20" s="1">
        <f t="shared" si="2"/>
        <v>-40.828499999999991</v>
      </c>
      <c r="K20" t="str">
        <f t="shared" si="3"/>
        <v>KO</v>
      </c>
      <c r="L20" s="1">
        <f t="shared" si="4"/>
        <v>113.3715</v>
      </c>
      <c r="M20" s="1">
        <f t="shared" si="5"/>
        <v>96.628500000000003</v>
      </c>
      <c r="O20" s="160">
        <f t="shared" si="6"/>
        <v>50</v>
      </c>
      <c r="P20" s="51">
        <f t="shared" si="7"/>
        <v>0.22117180748950874</v>
      </c>
      <c r="Q20" s="87"/>
    </row>
    <row r="21" spans="1:17" x14ac:dyDescent="0.25">
      <c r="A21" s="315"/>
      <c r="B21" s="68">
        <v>11</v>
      </c>
      <c r="C21" s="68">
        <v>60110137</v>
      </c>
      <c r="D21" s="68">
        <v>230</v>
      </c>
      <c r="E21" s="91">
        <v>9.75</v>
      </c>
      <c r="F21" s="68">
        <v>125</v>
      </c>
      <c r="G21" s="68">
        <v>50</v>
      </c>
      <c r="H21" s="68">
        <f t="shared" si="0"/>
        <v>96.628500000000003</v>
      </c>
      <c r="I21" s="1">
        <f t="shared" si="1"/>
        <v>28.371499999999997</v>
      </c>
      <c r="J21" s="1">
        <f t="shared" si="2"/>
        <v>-33.828499999999991</v>
      </c>
      <c r="K21" t="str">
        <f t="shared" si="3"/>
        <v>KO</v>
      </c>
      <c r="L21" s="1">
        <f t="shared" si="4"/>
        <v>133.3715</v>
      </c>
      <c r="M21" s="1">
        <f t="shared" si="5"/>
        <v>96.628500000000003</v>
      </c>
      <c r="O21" s="160">
        <f t="shared" si="6"/>
        <v>50</v>
      </c>
      <c r="P21" s="51">
        <f t="shared" si="7"/>
        <v>0.29361420284905587</v>
      </c>
      <c r="Q21" s="87"/>
    </row>
    <row r="22" spans="1:17" x14ac:dyDescent="0.25">
      <c r="A22" s="315"/>
      <c r="B22" s="68">
        <v>12</v>
      </c>
      <c r="C22" s="68">
        <v>60110148</v>
      </c>
      <c r="D22" s="68">
        <v>290</v>
      </c>
      <c r="E22" s="91">
        <v>10.5</v>
      </c>
      <c r="F22" s="68">
        <v>150</v>
      </c>
      <c r="G22" s="68">
        <v>50</v>
      </c>
      <c r="H22" s="68">
        <f t="shared" si="0"/>
        <v>96.628500000000003</v>
      </c>
      <c r="I22" s="1">
        <f t="shared" si="1"/>
        <v>53.371499999999997</v>
      </c>
      <c r="J22" s="1">
        <f t="shared" si="2"/>
        <v>-8.8284999999999911</v>
      </c>
      <c r="K22" t="str">
        <f t="shared" si="3"/>
        <v>KO</v>
      </c>
      <c r="L22" s="1">
        <f t="shared" si="4"/>
        <v>193.3715</v>
      </c>
      <c r="M22" s="1">
        <f t="shared" si="5"/>
        <v>96.628500000000003</v>
      </c>
      <c r="O22" s="160">
        <f t="shared" si="6"/>
        <v>50</v>
      </c>
      <c r="P22" s="51">
        <f t="shared" si="7"/>
        <v>0.55233704341886702</v>
      </c>
      <c r="Q22" s="87"/>
    </row>
    <row r="23" spans="1:17" x14ac:dyDescent="0.25">
      <c r="A23" s="315"/>
      <c r="B23" s="68">
        <v>13</v>
      </c>
      <c r="C23" s="68">
        <v>60110138</v>
      </c>
      <c r="D23" s="68">
        <v>310</v>
      </c>
      <c r="E23" s="91">
        <v>10.75</v>
      </c>
      <c r="F23" s="68">
        <v>155</v>
      </c>
      <c r="G23" s="68">
        <v>50</v>
      </c>
      <c r="H23" s="68">
        <f t="shared" si="0"/>
        <v>96.628500000000003</v>
      </c>
      <c r="I23" s="1">
        <f t="shared" si="1"/>
        <v>58.371499999999997</v>
      </c>
      <c r="J23" s="1">
        <f t="shared" si="2"/>
        <v>-3.8284999999999911</v>
      </c>
      <c r="K23" t="str">
        <f t="shared" si="3"/>
        <v>KO</v>
      </c>
      <c r="L23" s="1">
        <f t="shared" si="4"/>
        <v>213.3715</v>
      </c>
      <c r="M23" s="1">
        <f t="shared" si="5"/>
        <v>96.628500000000003</v>
      </c>
      <c r="O23" s="160">
        <f t="shared" si="6"/>
        <v>50</v>
      </c>
      <c r="P23" s="51">
        <f t="shared" si="7"/>
        <v>0.60408161153282924</v>
      </c>
      <c r="Q23" s="87"/>
    </row>
    <row r="24" spans="1:17" x14ac:dyDescent="0.25">
      <c r="A24" s="315"/>
      <c r="B24" s="68">
        <v>14</v>
      </c>
      <c r="C24" s="68">
        <v>60110193</v>
      </c>
      <c r="D24" s="68">
        <v>130</v>
      </c>
      <c r="E24" s="91">
        <v>8.75</v>
      </c>
      <c r="F24" s="68">
        <v>73</v>
      </c>
      <c r="G24" s="68">
        <v>60</v>
      </c>
      <c r="H24" s="68">
        <f t="shared" si="0"/>
        <v>80.523750000000007</v>
      </c>
      <c r="I24" s="1">
        <f t="shared" si="1"/>
        <v>-7.5237500000000068</v>
      </c>
      <c r="J24" s="1">
        <f t="shared" si="2"/>
        <v>-69.723749999999995</v>
      </c>
      <c r="K24" t="str">
        <f t="shared" si="3"/>
        <v>KO</v>
      </c>
      <c r="L24" s="1">
        <f t="shared" si="4"/>
        <v>49.476249999999993</v>
      </c>
      <c r="M24" s="1">
        <f t="shared" si="5"/>
        <v>80.523750000000007</v>
      </c>
      <c r="O24" s="160">
        <f t="shared" si="6"/>
        <v>60</v>
      </c>
      <c r="P24" s="51">
        <f t="shared" si="7"/>
        <v>-9.3435166643381695E-2</v>
      </c>
      <c r="Q24" s="87"/>
    </row>
    <row r="25" spans="1:17" x14ac:dyDescent="0.25">
      <c r="A25" s="315"/>
      <c r="B25" s="68">
        <v>15</v>
      </c>
      <c r="C25" s="68">
        <v>60110139</v>
      </c>
      <c r="D25" s="68">
        <v>170</v>
      </c>
      <c r="E25" s="91">
        <v>9.25</v>
      </c>
      <c r="F25" s="68">
        <v>92</v>
      </c>
      <c r="G25" s="68">
        <v>60</v>
      </c>
      <c r="H25" s="68">
        <f t="shared" si="0"/>
        <v>80.523750000000007</v>
      </c>
      <c r="I25" s="1">
        <f t="shared" si="1"/>
        <v>11.476249999999993</v>
      </c>
      <c r="J25" s="1">
        <f t="shared" si="2"/>
        <v>-50.723749999999995</v>
      </c>
      <c r="K25" t="str">
        <f t="shared" si="3"/>
        <v>KO</v>
      </c>
      <c r="L25" s="1">
        <f t="shared" si="4"/>
        <v>89.476249999999993</v>
      </c>
      <c r="M25" s="1">
        <f t="shared" si="5"/>
        <v>80.523750000000007</v>
      </c>
      <c r="O25" s="160">
        <f t="shared" si="6"/>
        <v>60</v>
      </c>
      <c r="P25" s="51">
        <f t="shared" si="7"/>
        <v>0.14252006395628611</v>
      </c>
      <c r="Q25" s="87"/>
    </row>
    <row r="26" spans="1:17" x14ac:dyDescent="0.25">
      <c r="A26" s="315"/>
      <c r="B26" s="68">
        <v>16</v>
      </c>
      <c r="C26" s="68">
        <v>60110140</v>
      </c>
      <c r="D26" s="68">
        <v>190</v>
      </c>
      <c r="E26" s="91">
        <v>9.75</v>
      </c>
      <c r="F26" s="68">
        <v>100</v>
      </c>
      <c r="G26" s="68">
        <v>60</v>
      </c>
      <c r="H26" s="68">
        <f t="shared" si="0"/>
        <v>80.523750000000007</v>
      </c>
      <c r="I26" s="1">
        <f t="shared" si="1"/>
        <v>19.476249999999993</v>
      </c>
      <c r="J26" s="1">
        <f t="shared" si="2"/>
        <v>-42.723749999999995</v>
      </c>
      <c r="K26" t="str">
        <f t="shared" si="3"/>
        <v>KO</v>
      </c>
      <c r="L26" s="1">
        <f t="shared" si="4"/>
        <v>109.47624999999999</v>
      </c>
      <c r="M26" s="1">
        <f t="shared" si="5"/>
        <v>80.523750000000007</v>
      </c>
      <c r="O26" s="160">
        <f t="shared" si="6"/>
        <v>60</v>
      </c>
      <c r="P26" s="51">
        <f t="shared" si="7"/>
        <v>0.2418696347350936</v>
      </c>
      <c r="Q26" s="87"/>
    </row>
    <row r="27" spans="1:17" x14ac:dyDescent="0.25">
      <c r="A27" s="315"/>
      <c r="B27" s="68">
        <v>17</v>
      </c>
      <c r="C27" s="68">
        <v>60110174</v>
      </c>
      <c r="D27" s="68">
        <v>210</v>
      </c>
      <c r="E27" s="91">
        <v>10</v>
      </c>
      <c r="F27" s="68">
        <v>114</v>
      </c>
      <c r="G27" s="68">
        <v>60</v>
      </c>
      <c r="H27" s="68">
        <f t="shared" si="0"/>
        <v>80.523750000000007</v>
      </c>
      <c r="I27" s="1">
        <f t="shared" si="1"/>
        <v>33.476249999999993</v>
      </c>
      <c r="J27" s="1">
        <f t="shared" si="2"/>
        <v>-28.723749999999995</v>
      </c>
      <c r="K27" t="str">
        <f t="shared" si="3"/>
        <v>KO</v>
      </c>
      <c r="L27" s="1">
        <f t="shared" si="4"/>
        <v>129.47624999999999</v>
      </c>
      <c r="M27" s="1">
        <f t="shared" si="5"/>
        <v>80.523750000000007</v>
      </c>
      <c r="O27" s="160">
        <f t="shared" si="6"/>
        <v>60</v>
      </c>
      <c r="P27" s="51">
        <f t="shared" si="7"/>
        <v>0.41573138359800671</v>
      </c>
      <c r="Q27" s="87"/>
    </row>
    <row r="28" spans="1:17" x14ac:dyDescent="0.25">
      <c r="A28" s="315"/>
      <c r="B28" s="68">
        <v>18</v>
      </c>
      <c r="C28" s="68">
        <v>60110141</v>
      </c>
      <c r="D28" s="68">
        <v>230</v>
      </c>
      <c r="E28" s="91">
        <v>10.25</v>
      </c>
      <c r="F28" s="68">
        <v>120</v>
      </c>
      <c r="G28" s="68">
        <v>60</v>
      </c>
      <c r="H28" s="68">
        <f t="shared" si="0"/>
        <v>80.523750000000007</v>
      </c>
      <c r="I28" s="1">
        <f t="shared" si="1"/>
        <v>39.476249999999993</v>
      </c>
      <c r="J28" s="1">
        <f t="shared" si="2"/>
        <v>-22.723749999999995</v>
      </c>
      <c r="K28" t="str">
        <f t="shared" si="3"/>
        <v>KO</v>
      </c>
      <c r="L28" s="1">
        <f t="shared" si="4"/>
        <v>149.47624999999999</v>
      </c>
      <c r="M28" s="1">
        <f t="shared" si="5"/>
        <v>80.523750000000007</v>
      </c>
      <c r="O28" s="160">
        <f t="shared" si="6"/>
        <v>60</v>
      </c>
      <c r="P28" s="51">
        <f t="shared" si="7"/>
        <v>0.49024356168211236</v>
      </c>
      <c r="Q28" s="87"/>
    </row>
    <row r="29" spans="1:17" x14ac:dyDescent="0.25">
      <c r="A29" s="315"/>
      <c r="B29" s="68">
        <v>19</v>
      </c>
      <c r="C29" s="68">
        <v>60110194</v>
      </c>
      <c r="D29" s="68">
        <v>130</v>
      </c>
      <c r="E29" s="91">
        <v>9</v>
      </c>
      <c r="F29" s="68">
        <v>74</v>
      </c>
      <c r="G29" s="68">
        <v>70</v>
      </c>
      <c r="H29" s="68">
        <f t="shared" si="0"/>
        <v>69.020357142857151</v>
      </c>
      <c r="I29" s="1">
        <f t="shared" si="1"/>
        <v>4.9796428571428493</v>
      </c>
      <c r="J29" s="1">
        <f t="shared" si="2"/>
        <v>-57.220357142857139</v>
      </c>
      <c r="K29" t="str">
        <f t="shared" si="3"/>
        <v>KO</v>
      </c>
      <c r="L29" s="1">
        <f t="shared" si="4"/>
        <v>60.979642857142849</v>
      </c>
      <c r="M29" s="1">
        <f t="shared" si="5"/>
        <v>69.020357142857151</v>
      </c>
      <c r="O29" s="160">
        <f t="shared" si="6"/>
        <v>70</v>
      </c>
      <c r="P29" s="51">
        <f t="shared" si="7"/>
        <v>7.2147451321297434E-2</v>
      </c>
      <c r="Q29" s="87"/>
    </row>
    <row r="30" spans="1:17" x14ac:dyDescent="0.25">
      <c r="A30" s="315"/>
      <c r="B30" s="68">
        <v>20</v>
      </c>
      <c r="C30" s="68">
        <v>60110112</v>
      </c>
      <c r="D30" s="68">
        <v>170</v>
      </c>
      <c r="E30" s="91">
        <v>9.75</v>
      </c>
      <c r="F30" s="68">
        <v>93</v>
      </c>
      <c r="G30" s="68">
        <v>70</v>
      </c>
      <c r="H30" s="68">
        <f t="shared" si="0"/>
        <v>69.020357142857151</v>
      </c>
      <c r="I30" s="1">
        <f t="shared" si="1"/>
        <v>23.979642857142849</v>
      </c>
      <c r="J30" s="1">
        <f t="shared" si="2"/>
        <v>-38.220357142857139</v>
      </c>
      <c r="K30" t="str">
        <f t="shared" si="3"/>
        <v>KO</v>
      </c>
      <c r="L30" s="1">
        <f t="shared" si="4"/>
        <v>100.97964285714285</v>
      </c>
      <c r="M30" s="1">
        <f t="shared" si="5"/>
        <v>69.020357142857151</v>
      </c>
      <c r="O30" s="160">
        <f t="shared" si="6"/>
        <v>70</v>
      </c>
      <c r="P30" s="51">
        <f t="shared" si="7"/>
        <v>0.34742855368757652</v>
      </c>
      <c r="Q30" s="87"/>
    </row>
    <row r="31" spans="1:17" x14ac:dyDescent="0.25">
      <c r="A31" s="315"/>
      <c r="B31" s="68">
        <v>21</v>
      </c>
      <c r="C31" s="68">
        <v>60110142</v>
      </c>
      <c r="D31" s="68">
        <v>190</v>
      </c>
      <c r="E31" s="91">
        <v>10.25</v>
      </c>
      <c r="F31" s="68">
        <v>93</v>
      </c>
      <c r="G31" s="68">
        <v>70</v>
      </c>
      <c r="H31" s="68">
        <f t="shared" si="0"/>
        <v>69.020357142857151</v>
      </c>
      <c r="I31" s="1">
        <f t="shared" si="1"/>
        <v>23.979642857142849</v>
      </c>
      <c r="J31" s="1">
        <f t="shared" si="2"/>
        <v>-38.220357142857139</v>
      </c>
      <c r="K31" t="str">
        <f t="shared" si="3"/>
        <v>KO</v>
      </c>
      <c r="L31" s="1">
        <f t="shared" si="4"/>
        <v>120.97964285714285</v>
      </c>
      <c r="M31" s="1">
        <f t="shared" si="5"/>
        <v>69.020357142857151</v>
      </c>
      <c r="O31" s="160">
        <f t="shared" si="6"/>
        <v>70</v>
      </c>
      <c r="P31" s="51">
        <f t="shared" si="7"/>
        <v>0.34742855368757652</v>
      </c>
      <c r="Q31" s="87"/>
    </row>
    <row r="32" spans="1:17" x14ac:dyDescent="0.25">
      <c r="A32" s="315"/>
      <c r="B32" s="68">
        <v>22</v>
      </c>
      <c r="C32" s="68">
        <v>60110143</v>
      </c>
      <c r="D32" s="68">
        <v>230</v>
      </c>
      <c r="E32" s="91">
        <v>10.75</v>
      </c>
      <c r="F32" s="68">
        <v>118</v>
      </c>
      <c r="G32" s="68">
        <v>70</v>
      </c>
      <c r="H32" s="68">
        <f t="shared" si="0"/>
        <v>69.020357142857151</v>
      </c>
      <c r="I32" s="1">
        <f t="shared" si="1"/>
        <v>48.979642857142849</v>
      </c>
      <c r="J32" s="1">
        <f t="shared" si="2"/>
        <v>-13.220357142857139</v>
      </c>
      <c r="K32" t="str">
        <f t="shared" si="3"/>
        <v>KO</v>
      </c>
      <c r="L32" s="1">
        <f t="shared" si="4"/>
        <v>160.97964285714284</v>
      </c>
      <c r="M32" s="1">
        <f t="shared" si="5"/>
        <v>69.020357142857165</v>
      </c>
      <c r="O32" s="160">
        <f t="shared" si="6"/>
        <v>70</v>
      </c>
      <c r="P32" s="51">
        <f t="shared" si="7"/>
        <v>0.70964053048531217</v>
      </c>
      <c r="Q32" s="87"/>
    </row>
    <row r="33" spans="1:17" x14ac:dyDescent="0.25">
      <c r="A33" s="315"/>
      <c r="B33" s="68">
        <v>23</v>
      </c>
      <c r="C33" s="68">
        <v>60110195</v>
      </c>
      <c r="D33" s="68">
        <v>130</v>
      </c>
      <c r="E33" s="91">
        <v>9.5</v>
      </c>
      <c r="F33" s="68">
        <v>68</v>
      </c>
      <c r="G33" s="68">
        <v>80</v>
      </c>
      <c r="H33" s="68">
        <f t="shared" si="0"/>
        <v>60.392812500000005</v>
      </c>
      <c r="I33" s="1">
        <f t="shared" si="1"/>
        <v>7.6071874999999949</v>
      </c>
      <c r="J33" s="1">
        <f t="shared" si="2"/>
        <v>-54.592812499999994</v>
      </c>
      <c r="K33" t="str">
        <f t="shared" si="3"/>
        <v>KO</v>
      </c>
      <c r="L33" s="1">
        <f t="shared" si="4"/>
        <v>69.607187499999995</v>
      </c>
      <c r="M33" s="1">
        <f t="shared" si="5"/>
        <v>60.392812500000005</v>
      </c>
      <c r="O33" s="160">
        <f t="shared" si="6"/>
        <v>80</v>
      </c>
      <c r="P33" s="51">
        <f t="shared" si="7"/>
        <v>0.12596180215981817</v>
      </c>
      <c r="Q33" s="87"/>
    </row>
    <row r="34" spans="1:17" x14ac:dyDescent="0.25">
      <c r="A34" s="315"/>
      <c r="B34" s="68">
        <v>24</v>
      </c>
      <c r="C34" s="68">
        <v>60110181</v>
      </c>
      <c r="D34" s="68">
        <v>170</v>
      </c>
      <c r="E34" s="91">
        <v>10.25</v>
      </c>
      <c r="F34" s="68">
        <v>87</v>
      </c>
      <c r="G34" s="68">
        <v>80</v>
      </c>
      <c r="H34" s="68">
        <f t="shared" si="0"/>
        <v>60.392812500000005</v>
      </c>
      <c r="I34" s="1">
        <f t="shared" si="1"/>
        <v>26.607187499999995</v>
      </c>
      <c r="J34" s="1">
        <f t="shared" si="2"/>
        <v>-35.592812499999994</v>
      </c>
      <c r="K34" t="str">
        <f t="shared" si="3"/>
        <v>KO</v>
      </c>
      <c r="L34" s="1">
        <f t="shared" si="4"/>
        <v>109.60718749999999</v>
      </c>
      <c r="M34" s="1">
        <f t="shared" si="5"/>
        <v>60.392812500000005</v>
      </c>
      <c r="O34" s="160">
        <f t="shared" si="6"/>
        <v>80</v>
      </c>
      <c r="P34" s="51">
        <f t="shared" si="7"/>
        <v>0.44056877629270863</v>
      </c>
      <c r="Q34" s="87"/>
    </row>
    <row r="35" spans="1:17" x14ac:dyDescent="0.25">
      <c r="A35" s="315"/>
      <c r="B35" s="68">
        <v>25</v>
      </c>
      <c r="C35" s="68">
        <v>60110152</v>
      </c>
      <c r="D35" s="68">
        <v>130</v>
      </c>
      <c r="E35" s="91">
        <v>9.75</v>
      </c>
      <c r="F35" s="68">
        <v>68</v>
      </c>
      <c r="G35" s="68">
        <v>90</v>
      </c>
      <c r="H35" s="68">
        <f t="shared" si="0"/>
        <v>53.682500000000005</v>
      </c>
      <c r="I35" s="1">
        <f t="shared" si="1"/>
        <v>14.317499999999995</v>
      </c>
      <c r="J35" s="1">
        <f t="shared" si="2"/>
        <v>-47.882499999999993</v>
      </c>
      <c r="K35" t="str">
        <f t="shared" si="3"/>
        <v>KO</v>
      </c>
      <c r="L35" s="1">
        <f t="shared" si="4"/>
        <v>76.317499999999995</v>
      </c>
      <c r="M35" s="1">
        <f t="shared" si="5"/>
        <v>53.682500000000005</v>
      </c>
      <c r="O35" s="160">
        <f t="shared" si="6"/>
        <v>90</v>
      </c>
      <c r="P35" s="51">
        <f t="shared" si="7"/>
        <v>0.26670702742979546</v>
      </c>
      <c r="Q35" s="87"/>
    </row>
    <row r="36" spans="1:17" x14ac:dyDescent="0.25">
      <c r="A36" s="315"/>
      <c r="B36" s="68">
        <v>26</v>
      </c>
      <c r="C36" s="68">
        <v>60110118</v>
      </c>
      <c r="D36" s="68">
        <v>170</v>
      </c>
      <c r="E36" s="91">
        <v>10.5</v>
      </c>
      <c r="F36" s="68">
        <v>88</v>
      </c>
      <c r="G36" s="68">
        <v>90</v>
      </c>
      <c r="H36" s="68">
        <f t="shared" si="0"/>
        <v>53.682500000000005</v>
      </c>
      <c r="I36" s="1">
        <f t="shared" si="1"/>
        <v>34.317499999999995</v>
      </c>
      <c r="J36" s="1">
        <f t="shared" si="2"/>
        <v>-27.882499999999993</v>
      </c>
      <c r="K36" t="str">
        <f t="shared" si="3"/>
        <v>KO</v>
      </c>
      <c r="L36" s="1">
        <f t="shared" si="4"/>
        <v>116.3175</v>
      </c>
      <c r="M36" s="1">
        <f t="shared" si="5"/>
        <v>53.682500000000005</v>
      </c>
      <c r="O36" s="160">
        <f t="shared" si="6"/>
        <v>90</v>
      </c>
      <c r="P36" s="51">
        <f t="shared" si="7"/>
        <v>0.63926791785032355</v>
      </c>
      <c r="Q36" s="87"/>
    </row>
    <row r="37" spans="1:17" x14ac:dyDescent="0.25">
      <c r="A37" s="315"/>
      <c r="B37" s="68">
        <v>27</v>
      </c>
      <c r="C37" s="68">
        <v>60110183</v>
      </c>
      <c r="D37" s="68">
        <v>190</v>
      </c>
      <c r="E37" s="91">
        <v>11</v>
      </c>
      <c r="F37" s="68">
        <v>91</v>
      </c>
      <c r="G37" s="68">
        <v>90</v>
      </c>
      <c r="H37" s="68">
        <f t="shared" si="0"/>
        <v>53.682500000000005</v>
      </c>
      <c r="I37" s="1">
        <f t="shared" si="1"/>
        <v>37.317499999999995</v>
      </c>
      <c r="J37" s="1">
        <f t="shared" si="2"/>
        <v>-24.882499999999993</v>
      </c>
      <c r="K37" t="str">
        <f t="shared" si="3"/>
        <v>KO</v>
      </c>
      <c r="L37" s="1">
        <f t="shared" si="4"/>
        <v>136.3175</v>
      </c>
      <c r="M37" s="1">
        <f t="shared" si="5"/>
        <v>53.682500000000005</v>
      </c>
      <c r="O37" s="160">
        <f t="shared" si="6"/>
        <v>90</v>
      </c>
      <c r="P37" s="51">
        <f t="shared" si="7"/>
        <v>0.69515205141340286</v>
      </c>
      <c r="Q37" s="87"/>
    </row>
    <row r="38" spans="1:17" x14ac:dyDescent="0.25">
      <c r="A38" s="315"/>
      <c r="B38" s="68">
        <v>28</v>
      </c>
      <c r="C38" s="68">
        <v>60110119</v>
      </c>
      <c r="D38" s="68">
        <v>130</v>
      </c>
      <c r="E38" s="91">
        <v>10.8</v>
      </c>
      <c r="F38" s="68">
        <v>60</v>
      </c>
      <c r="G38" s="68">
        <v>110</v>
      </c>
      <c r="H38" s="68">
        <f t="shared" si="0"/>
        <v>43.922045454545454</v>
      </c>
      <c r="I38" s="1">
        <f t="shared" si="1"/>
        <v>16.077954545454546</v>
      </c>
      <c r="J38" s="1">
        <f t="shared" si="2"/>
        <v>-46.122045454545443</v>
      </c>
      <c r="K38" t="str">
        <f t="shared" si="3"/>
        <v>KO</v>
      </c>
      <c r="L38" s="1">
        <f t="shared" si="4"/>
        <v>86.077954545454546</v>
      </c>
      <c r="M38" s="1">
        <f t="shared" si="5"/>
        <v>43.922045454545454</v>
      </c>
      <c r="O38" s="160">
        <f t="shared" si="6"/>
        <v>110</v>
      </c>
      <c r="P38" s="51">
        <f t="shared" si="7"/>
        <v>0.36605659820860303</v>
      </c>
      <c r="Q38" s="87"/>
    </row>
    <row r="39" spans="1:17" x14ac:dyDescent="0.25">
      <c r="A39" s="315"/>
      <c r="B39" s="68">
        <v>29</v>
      </c>
      <c r="C39" s="68">
        <v>60110153</v>
      </c>
      <c r="D39" s="68">
        <v>130</v>
      </c>
      <c r="E39" s="91">
        <v>10.25</v>
      </c>
      <c r="F39" s="68">
        <v>64</v>
      </c>
      <c r="G39" s="68">
        <v>110</v>
      </c>
      <c r="H39" s="68">
        <f t="shared" si="0"/>
        <v>43.922045454545454</v>
      </c>
      <c r="I39" s="1">
        <f t="shared" si="1"/>
        <v>20.077954545454546</v>
      </c>
      <c r="J39" s="1">
        <f t="shared" si="2"/>
        <v>-42.122045454545443</v>
      </c>
      <c r="K39" t="str">
        <f t="shared" si="3"/>
        <v>KO</v>
      </c>
      <c r="L39" s="1">
        <f t="shared" si="4"/>
        <v>86.077954545454546</v>
      </c>
      <c r="M39" s="1">
        <f t="shared" si="5"/>
        <v>43.922045454545454</v>
      </c>
      <c r="O39" s="160">
        <f t="shared" si="6"/>
        <v>110</v>
      </c>
      <c r="P39" s="51">
        <f t="shared" si="7"/>
        <v>0.45712703808917654</v>
      </c>
      <c r="Q39" s="87"/>
    </row>
    <row r="40" spans="1:17" x14ac:dyDescent="0.25">
      <c r="A40" s="315"/>
      <c r="B40" s="68">
        <v>30</v>
      </c>
      <c r="C40" s="68">
        <v>60110120</v>
      </c>
      <c r="D40" s="68">
        <v>130</v>
      </c>
      <c r="E40" s="91">
        <v>11.2</v>
      </c>
      <c r="F40" s="68">
        <v>67</v>
      </c>
      <c r="G40" s="68">
        <v>130</v>
      </c>
      <c r="H40" s="68">
        <f t="shared" si="0"/>
        <v>37.164807692307697</v>
      </c>
      <c r="I40" s="1">
        <f t="shared" si="1"/>
        <v>29.835192307692303</v>
      </c>
      <c r="J40" s="1">
        <f t="shared" si="2"/>
        <v>-32.364807692307686</v>
      </c>
      <c r="K40" t="str">
        <f t="shared" si="3"/>
        <v>KO</v>
      </c>
      <c r="L40" s="1">
        <f t="shared" si="4"/>
        <v>92.835192307692296</v>
      </c>
      <c r="M40" s="1">
        <f t="shared" si="5"/>
        <v>37.164807692307704</v>
      </c>
      <c r="O40" s="160">
        <f t="shared" si="6"/>
        <v>130</v>
      </c>
      <c r="P40" s="51">
        <f t="shared" si="7"/>
        <v>0.80278075309044417</v>
      </c>
      <c r="Q40" s="87"/>
    </row>
    <row r="41" spans="1:17" x14ac:dyDescent="0.25">
      <c r="A41" s="315"/>
      <c r="B41" s="68">
        <v>31</v>
      </c>
      <c r="C41" s="68">
        <v>60110154</v>
      </c>
      <c r="D41" s="68">
        <v>130</v>
      </c>
      <c r="E41" s="91">
        <v>10.75</v>
      </c>
      <c r="F41" s="68">
        <v>63</v>
      </c>
      <c r="G41" s="68">
        <v>130</v>
      </c>
      <c r="H41" s="68">
        <f t="shared" si="0"/>
        <v>37.164807692307697</v>
      </c>
      <c r="I41" s="1">
        <f t="shared" si="1"/>
        <v>25.835192307692303</v>
      </c>
      <c r="J41" s="1">
        <f t="shared" si="2"/>
        <v>-36.364807692307686</v>
      </c>
      <c r="K41" t="str">
        <f t="shared" si="3"/>
        <v>KO</v>
      </c>
      <c r="L41" s="1">
        <f t="shared" si="4"/>
        <v>92.835192307692296</v>
      </c>
      <c r="M41" s="1">
        <f t="shared" si="5"/>
        <v>37.164807692307704</v>
      </c>
      <c r="O41" s="160">
        <f t="shared" si="6"/>
        <v>130</v>
      </c>
      <c r="P41" s="51">
        <f t="shared" si="7"/>
        <v>0.69515205141340275</v>
      </c>
      <c r="Q41" s="87"/>
    </row>
    <row r="42" spans="1:17" x14ac:dyDescent="0.25">
      <c r="A42" s="315"/>
      <c r="B42" s="68">
        <v>32</v>
      </c>
      <c r="C42" s="68">
        <v>60110121</v>
      </c>
      <c r="D42" s="68">
        <v>130</v>
      </c>
      <c r="E42" s="91">
        <v>11.7</v>
      </c>
      <c r="F42" s="68">
        <v>64</v>
      </c>
      <c r="G42" s="68">
        <v>150</v>
      </c>
      <c r="H42" s="68">
        <f t="shared" si="0"/>
        <v>32.209499999999998</v>
      </c>
      <c r="I42" s="1">
        <f t="shared" si="1"/>
        <v>31.790500000000002</v>
      </c>
      <c r="J42" s="1">
        <f t="shared" si="2"/>
        <v>-30.409499999999987</v>
      </c>
      <c r="K42" t="str">
        <f t="shared" si="3"/>
        <v>KO</v>
      </c>
      <c r="L42" s="1">
        <f t="shared" si="4"/>
        <v>97.790500000000009</v>
      </c>
      <c r="M42" s="1">
        <f t="shared" si="5"/>
        <v>32.209499999999991</v>
      </c>
      <c r="O42" s="160">
        <f t="shared" si="6"/>
        <v>150</v>
      </c>
      <c r="P42" s="51">
        <f t="shared" si="7"/>
        <v>0.98699141557614978</v>
      </c>
      <c r="Q42" s="87"/>
    </row>
    <row r="43" spans="1:17" x14ac:dyDescent="0.25">
      <c r="A43" s="315"/>
      <c r="B43" s="68">
        <v>33</v>
      </c>
      <c r="C43" s="68">
        <v>60110155</v>
      </c>
      <c r="D43" s="68">
        <v>130</v>
      </c>
      <c r="E43" s="91">
        <v>11.25</v>
      </c>
      <c r="F43" s="68">
        <v>60</v>
      </c>
      <c r="G43" s="68">
        <v>150</v>
      </c>
      <c r="H43" s="68">
        <f t="shared" ref="H43:H74" si="8">$B$2/2*9.81*$B$3/G43</f>
        <v>32.209499999999998</v>
      </c>
      <c r="I43" s="1">
        <f t="shared" si="1"/>
        <v>27.790500000000002</v>
      </c>
      <c r="J43" s="1">
        <f t="shared" si="2"/>
        <v>-34.409499999999987</v>
      </c>
      <c r="K43" t="str">
        <f t="shared" si="3"/>
        <v>KO</v>
      </c>
      <c r="L43" s="1">
        <f t="shared" si="4"/>
        <v>97.790500000000009</v>
      </c>
      <c r="M43" s="1">
        <f t="shared" si="5"/>
        <v>32.209499999999991</v>
      </c>
      <c r="O43" s="160">
        <f t="shared" si="6"/>
        <v>150</v>
      </c>
      <c r="P43" s="51">
        <f t="shared" si="7"/>
        <v>0.86280445210264045</v>
      </c>
      <c r="Q43" s="87"/>
    </row>
    <row r="44" spans="1:17" x14ac:dyDescent="0.25">
      <c r="A44" s="315"/>
      <c r="B44" s="68">
        <v>34</v>
      </c>
      <c r="C44" s="68">
        <v>60110156</v>
      </c>
      <c r="D44" s="68">
        <v>130</v>
      </c>
      <c r="E44" s="91">
        <v>11.5</v>
      </c>
      <c r="F44" s="68">
        <v>61</v>
      </c>
      <c r="G44" s="68">
        <v>170</v>
      </c>
      <c r="H44" s="68">
        <f t="shared" si="8"/>
        <v>28.420147058823531</v>
      </c>
      <c r="I44" s="1">
        <f t="shared" si="1"/>
        <v>32.579852941176469</v>
      </c>
      <c r="J44" s="1">
        <f t="shared" si="2"/>
        <v>-29.62014705882352</v>
      </c>
      <c r="K44" t="str">
        <f t="shared" si="3"/>
        <v>KO</v>
      </c>
      <c r="L44" s="1">
        <f t="shared" si="4"/>
        <v>101.57985294117647</v>
      </c>
      <c r="M44" s="1">
        <f t="shared" si="5"/>
        <v>28.420147058823531</v>
      </c>
      <c r="O44" s="160">
        <f t="shared" si="6"/>
        <v>170</v>
      </c>
      <c r="P44" s="51">
        <f t="shared" si="7"/>
        <v>1.1463646853671534</v>
      </c>
      <c r="Q44" s="87"/>
    </row>
    <row r="45" spans="1:17" x14ac:dyDescent="0.25">
      <c r="A45" s="315"/>
      <c r="B45" s="68">
        <v>35</v>
      </c>
      <c r="C45" s="68">
        <v>60110157</v>
      </c>
      <c r="D45" s="68">
        <v>130</v>
      </c>
      <c r="E45" s="91">
        <v>12</v>
      </c>
      <c r="F45" s="68">
        <v>56</v>
      </c>
      <c r="G45" s="68">
        <v>190</v>
      </c>
      <c r="H45" s="68">
        <f t="shared" si="8"/>
        <v>25.428552631578949</v>
      </c>
      <c r="I45" s="1">
        <f t="shared" si="1"/>
        <v>30.571447368421051</v>
      </c>
      <c r="J45" s="1">
        <f t="shared" si="2"/>
        <v>-31.628552631578938</v>
      </c>
      <c r="K45" t="str">
        <f t="shared" si="3"/>
        <v>KO</v>
      </c>
      <c r="L45" s="1">
        <f t="shared" si="4"/>
        <v>104.57144736842105</v>
      </c>
      <c r="M45" s="1">
        <f t="shared" si="5"/>
        <v>25.428552631578953</v>
      </c>
      <c r="O45" s="160">
        <f t="shared" si="6"/>
        <v>190</v>
      </c>
      <c r="P45" s="51">
        <f t="shared" si="7"/>
        <v>1.2022488189302327</v>
      </c>
      <c r="Q45" s="87"/>
    </row>
    <row r="46" spans="1:17" x14ac:dyDescent="0.25">
      <c r="A46" s="315"/>
      <c r="B46" s="68">
        <v>36</v>
      </c>
      <c r="C46" s="68">
        <v>60110158</v>
      </c>
      <c r="D46" s="68">
        <v>130</v>
      </c>
      <c r="E46" s="91">
        <v>12.25</v>
      </c>
      <c r="F46" s="68">
        <v>56</v>
      </c>
      <c r="G46" s="68">
        <v>210</v>
      </c>
      <c r="H46" s="68">
        <f t="shared" si="8"/>
        <v>23.006785714285716</v>
      </c>
      <c r="I46" s="1">
        <f t="shared" si="1"/>
        <v>32.993214285714288</v>
      </c>
      <c r="J46" s="1">
        <f t="shared" si="2"/>
        <v>-29.206785714285701</v>
      </c>
      <c r="K46" t="str">
        <f t="shared" si="3"/>
        <v>KO</v>
      </c>
      <c r="L46" s="1">
        <f t="shared" si="4"/>
        <v>106.99321428571429</v>
      </c>
      <c r="M46" s="1">
        <f t="shared" si="5"/>
        <v>23.006785714285712</v>
      </c>
      <c r="O46" s="160">
        <f t="shared" si="6"/>
        <v>210</v>
      </c>
      <c r="P46" s="51">
        <f t="shared" si="7"/>
        <v>1.4340644840807837</v>
      </c>
      <c r="Q46" s="87"/>
    </row>
    <row r="47" spans="1:17" x14ac:dyDescent="0.25">
      <c r="A47" s="315"/>
      <c r="B47" s="68">
        <v>37</v>
      </c>
      <c r="C47" s="68">
        <v>60110159</v>
      </c>
      <c r="D47" s="68">
        <v>130</v>
      </c>
      <c r="E47" s="91">
        <v>12.5</v>
      </c>
      <c r="F47" s="68">
        <v>56</v>
      </c>
      <c r="G47" s="68">
        <v>230</v>
      </c>
      <c r="H47" s="68">
        <f t="shared" si="8"/>
        <v>21.006195652173915</v>
      </c>
      <c r="I47" s="1">
        <f t="shared" si="1"/>
        <v>34.993804347826085</v>
      </c>
      <c r="J47" s="1">
        <f t="shared" si="2"/>
        <v>-27.206195652173903</v>
      </c>
      <c r="K47" t="str">
        <f t="shared" si="3"/>
        <v>KO</v>
      </c>
      <c r="L47" s="1">
        <f t="shared" si="4"/>
        <v>108.99380434782609</v>
      </c>
      <c r="M47" s="1">
        <f t="shared" si="5"/>
        <v>21.006195652173915</v>
      </c>
      <c r="O47" s="160">
        <f t="shared" si="6"/>
        <v>230</v>
      </c>
      <c r="P47" s="51">
        <f t="shared" si="7"/>
        <v>1.6658801492313344</v>
      </c>
      <c r="Q47" s="87"/>
    </row>
    <row r="48" spans="1:17" x14ac:dyDescent="0.25">
      <c r="A48" s="315"/>
      <c r="B48" s="68">
        <v>38</v>
      </c>
      <c r="C48" s="68">
        <v>60110160</v>
      </c>
      <c r="D48" s="68">
        <v>130</v>
      </c>
      <c r="E48" s="91">
        <v>13</v>
      </c>
      <c r="F48" s="68">
        <v>50</v>
      </c>
      <c r="G48" s="68">
        <v>250</v>
      </c>
      <c r="H48" s="68">
        <f t="shared" si="8"/>
        <v>19.325700000000001</v>
      </c>
      <c r="I48" s="1">
        <f t="shared" si="1"/>
        <v>30.674299999999999</v>
      </c>
      <c r="J48" s="1">
        <f t="shared" si="2"/>
        <v>-31.52569999999999</v>
      </c>
      <c r="K48" t="str">
        <f t="shared" si="3"/>
        <v>KO</v>
      </c>
      <c r="L48" s="1">
        <f t="shared" si="4"/>
        <v>110.6743</v>
      </c>
      <c r="M48" s="1">
        <f t="shared" si="5"/>
        <v>19.325699999999998</v>
      </c>
      <c r="O48" s="160">
        <f t="shared" si="6"/>
        <v>250</v>
      </c>
      <c r="P48" s="51">
        <f t="shared" si="7"/>
        <v>1.5872284056981116</v>
      </c>
      <c r="Q48" s="87"/>
    </row>
    <row r="49" spans="1:17" x14ac:dyDescent="0.25">
      <c r="A49" s="315"/>
      <c r="B49" s="68">
        <v>39</v>
      </c>
      <c r="C49" s="68">
        <v>60110161</v>
      </c>
      <c r="D49" s="68">
        <v>130</v>
      </c>
      <c r="E49" s="91">
        <v>13.25</v>
      </c>
      <c r="F49" s="68">
        <v>50</v>
      </c>
      <c r="G49" s="68">
        <v>270</v>
      </c>
      <c r="H49" s="68">
        <f t="shared" si="8"/>
        <v>17.894166666666667</v>
      </c>
      <c r="I49" s="1">
        <f t="shared" si="1"/>
        <v>32.105833333333337</v>
      </c>
      <c r="J49" s="1">
        <f t="shared" si="2"/>
        <v>-30.094166666666652</v>
      </c>
      <c r="K49" t="str">
        <f t="shared" si="3"/>
        <v>KO</v>
      </c>
      <c r="L49" s="1">
        <f t="shared" si="4"/>
        <v>112.10583333333334</v>
      </c>
      <c r="M49" s="1">
        <f t="shared" si="5"/>
        <v>17.894166666666663</v>
      </c>
      <c r="O49" s="160">
        <f t="shared" si="6"/>
        <v>270</v>
      </c>
      <c r="P49" s="51">
        <f t="shared" si="7"/>
        <v>1.794206678153961</v>
      </c>
      <c r="Q49" s="87"/>
    </row>
    <row r="50" spans="1:17" x14ac:dyDescent="0.25">
      <c r="A50" s="315"/>
      <c r="B50" s="68">
        <v>40</v>
      </c>
      <c r="C50" s="68">
        <v>60110162</v>
      </c>
      <c r="D50" s="68">
        <v>130</v>
      </c>
      <c r="E50" s="91">
        <v>13.5</v>
      </c>
      <c r="F50" s="68">
        <v>49</v>
      </c>
      <c r="G50" s="68">
        <v>290</v>
      </c>
      <c r="H50" s="68">
        <f t="shared" si="8"/>
        <v>16.660086206896551</v>
      </c>
      <c r="I50" s="1">
        <f t="shared" si="1"/>
        <v>32.339913793103449</v>
      </c>
      <c r="J50" s="1">
        <f t="shared" si="2"/>
        <v>-29.86008620689654</v>
      </c>
      <c r="K50" t="str">
        <f t="shared" si="3"/>
        <v>KO</v>
      </c>
      <c r="L50" s="1">
        <f t="shared" si="4"/>
        <v>113.33991379310345</v>
      </c>
      <c r="M50" s="1">
        <f t="shared" si="5"/>
        <v>16.660086206896551</v>
      </c>
      <c r="O50" s="160">
        <f t="shared" si="6"/>
        <v>290</v>
      </c>
      <c r="P50" s="51">
        <f t="shared" si="7"/>
        <v>1.9411612515976135</v>
      </c>
      <c r="Q50" s="87"/>
    </row>
    <row r="51" spans="1:17" x14ac:dyDescent="0.25">
      <c r="A51" s="315"/>
      <c r="B51" s="68">
        <v>41</v>
      </c>
      <c r="C51" s="68">
        <v>60110163</v>
      </c>
      <c r="D51" s="68">
        <v>130</v>
      </c>
      <c r="E51" s="91">
        <v>13.75</v>
      </c>
      <c r="F51" s="68">
        <v>47</v>
      </c>
      <c r="G51" s="68">
        <v>310</v>
      </c>
      <c r="H51" s="68">
        <f t="shared" si="8"/>
        <v>15.585241935483872</v>
      </c>
      <c r="I51" s="1">
        <f t="shared" si="1"/>
        <v>31.414758064516128</v>
      </c>
      <c r="J51" s="1">
        <f t="shared" si="2"/>
        <v>-30.78524193548386</v>
      </c>
      <c r="K51" t="str">
        <f t="shared" si="3"/>
        <v>KO</v>
      </c>
      <c r="L51" s="1">
        <f t="shared" si="4"/>
        <v>114.41475806451612</v>
      </c>
      <c r="M51" s="1">
        <f t="shared" si="5"/>
        <v>15.585241935483879</v>
      </c>
      <c r="O51" s="160">
        <f t="shared" si="6"/>
        <v>310</v>
      </c>
      <c r="P51" s="51">
        <f t="shared" si="7"/>
        <v>2.0156734296817187</v>
      </c>
      <c r="Q51" s="87"/>
    </row>
    <row r="52" spans="1:17" x14ac:dyDescent="0.25">
      <c r="A52" s="315"/>
      <c r="B52" s="68">
        <v>42</v>
      </c>
      <c r="C52" s="68">
        <v>60110164</v>
      </c>
      <c r="D52" s="68">
        <v>130</v>
      </c>
      <c r="E52" s="91">
        <v>14</v>
      </c>
      <c r="F52" s="68">
        <v>46</v>
      </c>
      <c r="G52" s="68">
        <v>330</v>
      </c>
      <c r="H52" s="68">
        <f t="shared" si="8"/>
        <v>14.640681818181818</v>
      </c>
      <c r="I52" s="1">
        <f t="shared" si="1"/>
        <v>31.359318181818182</v>
      </c>
      <c r="J52" s="1">
        <f t="shared" si="2"/>
        <v>-30.840681818181807</v>
      </c>
      <c r="K52" t="str">
        <f t="shared" si="3"/>
        <v>KO</v>
      </c>
      <c r="L52" s="1">
        <f t="shared" si="4"/>
        <v>115.35931818181818</v>
      </c>
      <c r="M52" s="1">
        <f t="shared" si="5"/>
        <v>14.640681818181818</v>
      </c>
      <c r="O52" s="160">
        <f t="shared" si="6"/>
        <v>330</v>
      </c>
      <c r="P52" s="51">
        <f t="shared" si="7"/>
        <v>2.1419301758797871</v>
      </c>
      <c r="Q52" s="87"/>
    </row>
    <row r="53" spans="1:17" x14ac:dyDescent="0.25">
      <c r="A53" s="315"/>
      <c r="B53" s="68">
        <v>43</v>
      </c>
      <c r="C53" s="68">
        <v>60110165</v>
      </c>
      <c r="D53" s="68">
        <v>130</v>
      </c>
      <c r="E53" s="91">
        <v>14</v>
      </c>
      <c r="F53" s="68">
        <v>49</v>
      </c>
      <c r="G53" s="68">
        <v>350</v>
      </c>
      <c r="H53" s="68">
        <f t="shared" si="8"/>
        <v>13.804071428571429</v>
      </c>
      <c r="I53" s="1">
        <f t="shared" si="1"/>
        <v>35.195928571428567</v>
      </c>
      <c r="J53" s="1">
        <f t="shared" si="2"/>
        <v>-27.004071428571422</v>
      </c>
      <c r="K53" t="str">
        <f t="shared" si="3"/>
        <v>KO</v>
      </c>
      <c r="L53" s="1">
        <f t="shared" si="4"/>
        <v>116.19592857142857</v>
      </c>
      <c r="M53" s="1">
        <f t="shared" si="5"/>
        <v>13.804071428571433</v>
      </c>
      <c r="O53" s="160">
        <f t="shared" si="6"/>
        <v>350</v>
      </c>
      <c r="P53" s="51">
        <f t="shared" si="7"/>
        <v>2.549677372617809</v>
      </c>
      <c r="Q53" s="87"/>
    </row>
    <row r="54" spans="1:17" x14ac:dyDescent="0.25">
      <c r="A54" s="316" t="s">
        <v>34</v>
      </c>
      <c r="B54" s="68">
        <v>44</v>
      </c>
      <c r="C54" s="68">
        <v>60110053</v>
      </c>
      <c r="D54" s="68">
        <v>250</v>
      </c>
      <c r="E54" s="91">
        <v>8.75</v>
      </c>
      <c r="F54" s="68">
        <v>165</v>
      </c>
      <c r="G54" s="68">
        <v>25</v>
      </c>
      <c r="H54" s="68">
        <f t="shared" si="8"/>
        <v>193.25700000000001</v>
      </c>
      <c r="I54" s="1">
        <f t="shared" si="1"/>
        <v>-28.257000000000005</v>
      </c>
      <c r="J54" s="1">
        <f t="shared" si="2"/>
        <v>-90.456999999999994</v>
      </c>
      <c r="K54" t="str">
        <f t="shared" si="3"/>
        <v>KO</v>
      </c>
      <c r="L54" s="1">
        <f t="shared" si="4"/>
        <v>56.742999999999995</v>
      </c>
      <c r="M54" s="1">
        <f t="shared" si="5"/>
        <v>193.25700000000001</v>
      </c>
      <c r="O54" s="160">
        <f t="shared" si="6"/>
        <v>25</v>
      </c>
      <c r="P54" s="51">
        <f t="shared" si="7"/>
        <v>-0.14621462611962313</v>
      </c>
      <c r="Q54" s="87"/>
    </row>
    <row r="55" spans="1:17" x14ac:dyDescent="0.25">
      <c r="A55" s="316"/>
      <c r="B55" s="68">
        <v>45</v>
      </c>
      <c r="C55" s="68">
        <v>60110105</v>
      </c>
      <c r="D55" s="68">
        <v>170</v>
      </c>
      <c r="E55" s="91">
        <v>8.25</v>
      </c>
      <c r="F55" s="68">
        <v>110</v>
      </c>
      <c r="G55" s="68">
        <v>30</v>
      </c>
      <c r="H55" s="68">
        <f t="shared" si="8"/>
        <v>161.04750000000001</v>
      </c>
      <c r="I55" s="1">
        <f t="shared" si="1"/>
        <v>-51.047500000000014</v>
      </c>
      <c r="J55" s="1">
        <f t="shared" si="2"/>
        <v>-113.2475</v>
      </c>
      <c r="K55" t="str">
        <f t="shared" si="3"/>
        <v>KO</v>
      </c>
      <c r="L55" s="1">
        <f t="shared" si="4"/>
        <v>8.9524999999999864</v>
      </c>
      <c r="M55" s="1">
        <f t="shared" si="5"/>
        <v>161.04750000000001</v>
      </c>
      <c r="O55" s="160">
        <f t="shared" si="6"/>
        <v>30</v>
      </c>
      <c r="P55" s="51">
        <f t="shared" si="7"/>
        <v>-0.31697170089569854</v>
      </c>
      <c r="Q55" s="87"/>
    </row>
    <row r="56" spans="1:17" x14ac:dyDescent="0.25">
      <c r="A56" s="316"/>
      <c r="B56" s="68">
        <v>46</v>
      </c>
      <c r="C56" s="68">
        <v>60110009</v>
      </c>
      <c r="D56" s="68">
        <v>200</v>
      </c>
      <c r="E56" s="91">
        <v>9.25</v>
      </c>
      <c r="F56" s="68">
        <v>113</v>
      </c>
      <c r="G56" s="68">
        <v>30</v>
      </c>
      <c r="H56" s="68">
        <f t="shared" si="8"/>
        <v>161.04750000000001</v>
      </c>
      <c r="I56" s="1">
        <f t="shared" si="1"/>
        <v>-48.047500000000014</v>
      </c>
      <c r="J56" s="1">
        <f t="shared" si="2"/>
        <v>-110.2475</v>
      </c>
      <c r="K56" t="str">
        <f t="shared" si="3"/>
        <v>KO</v>
      </c>
      <c r="L56" s="1">
        <f t="shared" si="4"/>
        <v>38.952499999999986</v>
      </c>
      <c r="M56" s="1">
        <f t="shared" si="5"/>
        <v>161.04750000000001</v>
      </c>
      <c r="O56" s="160">
        <f t="shared" si="6"/>
        <v>30</v>
      </c>
      <c r="P56" s="51">
        <f t="shared" si="7"/>
        <v>-0.29834365637467214</v>
      </c>
      <c r="Q56" s="87"/>
    </row>
    <row r="57" spans="1:17" x14ac:dyDescent="0.25">
      <c r="A57" s="316"/>
      <c r="B57" s="68">
        <v>47</v>
      </c>
      <c r="C57" s="68">
        <v>60110051</v>
      </c>
      <c r="D57" s="68">
        <v>200</v>
      </c>
      <c r="E57" s="91">
        <v>8.75</v>
      </c>
      <c r="F57" s="68">
        <v>128</v>
      </c>
      <c r="G57" s="68">
        <v>30</v>
      </c>
      <c r="H57" s="68">
        <f t="shared" si="8"/>
        <v>161.04750000000001</v>
      </c>
      <c r="I57" s="1">
        <f t="shared" si="1"/>
        <v>-33.047500000000014</v>
      </c>
      <c r="J57" s="1">
        <f t="shared" si="2"/>
        <v>-95.247500000000002</v>
      </c>
      <c r="K57" t="str">
        <f t="shared" si="3"/>
        <v>KO</v>
      </c>
      <c r="L57" s="1">
        <f t="shared" si="4"/>
        <v>38.952499999999986</v>
      </c>
      <c r="M57" s="1">
        <f t="shared" si="5"/>
        <v>161.04750000000001</v>
      </c>
      <c r="O57" s="160">
        <f t="shared" si="6"/>
        <v>30</v>
      </c>
      <c r="P57" s="51">
        <f t="shared" si="7"/>
        <v>-0.20520343376954012</v>
      </c>
      <c r="Q57" s="87"/>
    </row>
    <row r="58" spans="1:17" x14ac:dyDescent="0.25">
      <c r="A58" s="316"/>
      <c r="B58" s="68">
        <v>48</v>
      </c>
      <c r="C58" s="68">
        <v>60110010</v>
      </c>
      <c r="D58" s="68">
        <v>250</v>
      </c>
      <c r="E58" s="91">
        <v>9.25</v>
      </c>
      <c r="F58" s="68">
        <v>160</v>
      </c>
      <c r="G58" s="68">
        <v>30</v>
      </c>
      <c r="H58" s="68">
        <f t="shared" si="8"/>
        <v>161.04750000000001</v>
      </c>
      <c r="I58" s="1">
        <f t="shared" si="1"/>
        <v>-1.0475000000000136</v>
      </c>
      <c r="J58" s="1">
        <f t="shared" si="2"/>
        <v>-63.247500000000002</v>
      </c>
      <c r="K58" t="str">
        <f t="shared" si="3"/>
        <v>KO</v>
      </c>
      <c r="L58" s="1">
        <f t="shared" si="4"/>
        <v>88.952499999999986</v>
      </c>
      <c r="M58" s="1">
        <f t="shared" si="5"/>
        <v>161.04750000000001</v>
      </c>
      <c r="O58" s="160">
        <f t="shared" si="6"/>
        <v>30</v>
      </c>
      <c r="P58" s="51">
        <f t="shared" si="7"/>
        <v>-6.5042922119251372E-3</v>
      </c>
      <c r="Q58" s="87"/>
    </row>
    <row r="59" spans="1:17" x14ac:dyDescent="0.25">
      <c r="A59" s="316"/>
      <c r="B59" s="68">
        <v>49</v>
      </c>
      <c r="C59" s="68">
        <v>60110055</v>
      </c>
      <c r="D59" s="68">
        <v>250</v>
      </c>
      <c r="E59" s="91">
        <v>9.75</v>
      </c>
      <c r="F59" s="68">
        <v>153</v>
      </c>
      <c r="G59" s="68">
        <v>35</v>
      </c>
      <c r="H59" s="68">
        <f t="shared" si="8"/>
        <v>138.0407142857143</v>
      </c>
      <c r="I59" s="1">
        <f t="shared" si="1"/>
        <v>14.959285714285699</v>
      </c>
      <c r="J59" s="1">
        <f t="shared" si="2"/>
        <v>-47.24071428571429</v>
      </c>
      <c r="K59" t="str">
        <f t="shared" si="3"/>
        <v>KO</v>
      </c>
      <c r="L59" s="1">
        <f t="shared" si="4"/>
        <v>111.9592857142857</v>
      </c>
      <c r="M59" s="1">
        <f t="shared" si="5"/>
        <v>138.0407142857143</v>
      </c>
      <c r="O59" s="160">
        <f t="shared" si="6"/>
        <v>35</v>
      </c>
      <c r="P59" s="51">
        <f t="shared" si="7"/>
        <v>0.108368649001071</v>
      </c>
      <c r="Q59" s="87"/>
    </row>
    <row r="60" spans="1:17" x14ac:dyDescent="0.25">
      <c r="A60" s="316"/>
      <c r="B60" s="68">
        <v>50</v>
      </c>
      <c r="C60" s="68">
        <v>60110102</v>
      </c>
      <c r="D60" s="68">
        <v>120</v>
      </c>
      <c r="E60" s="91">
        <v>8</v>
      </c>
      <c r="F60" s="68">
        <v>80</v>
      </c>
      <c r="G60" s="68">
        <v>40</v>
      </c>
      <c r="H60" s="68">
        <f t="shared" si="8"/>
        <v>120.78562500000001</v>
      </c>
      <c r="I60" s="1">
        <f t="shared" si="1"/>
        <v>-40.78562500000001</v>
      </c>
      <c r="J60" s="1">
        <f t="shared" si="2"/>
        <v>-102.985625</v>
      </c>
      <c r="K60" t="str">
        <f t="shared" si="3"/>
        <v>KO</v>
      </c>
      <c r="L60" s="1">
        <f t="shared" si="4"/>
        <v>-0.78562500000001023</v>
      </c>
      <c r="M60" s="1">
        <f t="shared" si="5"/>
        <v>120.78562500000001</v>
      </c>
      <c r="O60" s="160">
        <f t="shared" si="6"/>
        <v>40</v>
      </c>
      <c r="P60" s="51">
        <f t="shared" si="7"/>
        <v>-0.33766952814128343</v>
      </c>
      <c r="Q60" s="87"/>
    </row>
    <row r="61" spans="1:17" x14ac:dyDescent="0.25">
      <c r="A61" s="316"/>
      <c r="B61" s="68">
        <v>51</v>
      </c>
      <c r="C61" s="68">
        <v>60110104</v>
      </c>
      <c r="D61" s="68">
        <v>140</v>
      </c>
      <c r="E61" s="91">
        <v>8.5</v>
      </c>
      <c r="F61" s="68">
        <v>90</v>
      </c>
      <c r="G61" s="68">
        <v>40</v>
      </c>
      <c r="H61" s="68">
        <f t="shared" si="8"/>
        <v>120.78562500000001</v>
      </c>
      <c r="I61" s="1">
        <f t="shared" si="1"/>
        <v>-30.78562500000001</v>
      </c>
      <c r="J61" s="1">
        <f t="shared" si="2"/>
        <v>-92.985624999999999</v>
      </c>
      <c r="K61" t="str">
        <f t="shared" si="3"/>
        <v>KO</v>
      </c>
      <c r="L61" s="1">
        <f t="shared" si="4"/>
        <v>19.21437499999999</v>
      </c>
      <c r="M61" s="1">
        <f t="shared" si="5"/>
        <v>120.78562500000001</v>
      </c>
      <c r="O61" s="160">
        <f t="shared" si="6"/>
        <v>40</v>
      </c>
      <c r="P61" s="51">
        <f t="shared" si="7"/>
        <v>-0.25487821915894388</v>
      </c>
      <c r="Q61" s="87"/>
    </row>
    <row r="62" spans="1:17" x14ac:dyDescent="0.25">
      <c r="A62" s="316"/>
      <c r="B62" s="68">
        <v>52</v>
      </c>
      <c r="C62" s="68">
        <v>60110106</v>
      </c>
      <c r="D62" s="68">
        <v>170</v>
      </c>
      <c r="E62" s="91">
        <v>9</v>
      </c>
      <c r="F62" s="68">
        <v>108</v>
      </c>
      <c r="G62" s="68">
        <v>40</v>
      </c>
      <c r="H62" s="68">
        <f t="shared" si="8"/>
        <v>120.78562500000001</v>
      </c>
      <c r="I62" s="1">
        <f t="shared" si="1"/>
        <v>-12.78562500000001</v>
      </c>
      <c r="J62" s="1">
        <f t="shared" si="2"/>
        <v>-74.985624999999999</v>
      </c>
      <c r="K62" t="str">
        <f t="shared" si="3"/>
        <v>KO</v>
      </c>
      <c r="L62" s="1">
        <f t="shared" si="4"/>
        <v>49.21437499999999</v>
      </c>
      <c r="M62" s="1">
        <f t="shared" si="5"/>
        <v>120.78562500000001</v>
      </c>
      <c r="O62" s="160">
        <f t="shared" si="6"/>
        <v>40</v>
      </c>
      <c r="P62" s="51">
        <f t="shared" si="7"/>
        <v>-0.10585386299073263</v>
      </c>
      <c r="Q62" s="87"/>
    </row>
    <row r="63" spans="1:17" x14ac:dyDescent="0.25">
      <c r="A63" s="316"/>
      <c r="B63" s="68">
        <v>53</v>
      </c>
      <c r="C63" s="68">
        <v>60110013</v>
      </c>
      <c r="D63" s="68">
        <v>200</v>
      </c>
      <c r="E63" s="91">
        <v>9.5</v>
      </c>
      <c r="F63" s="68">
        <v>121</v>
      </c>
      <c r="G63" s="68">
        <v>40</v>
      </c>
      <c r="H63" s="68">
        <f t="shared" si="8"/>
        <v>120.78562500000001</v>
      </c>
      <c r="I63" s="1">
        <f t="shared" si="1"/>
        <v>0.21437499999998977</v>
      </c>
      <c r="J63" s="1">
        <f t="shared" si="2"/>
        <v>-61.985624999999999</v>
      </c>
      <c r="K63" t="str">
        <f t="shared" si="3"/>
        <v>KO</v>
      </c>
      <c r="L63" s="1">
        <f t="shared" si="4"/>
        <v>79.21437499999999</v>
      </c>
      <c r="M63" s="1">
        <f t="shared" si="5"/>
        <v>120.78562500000001</v>
      </c>
      <c r="O63" s="160">
        <f t="shared" si="6"/>
        <v>40</v>
      </c>
      <c r="P63" s="51">
        <f t="shared" si="7"/>
        <v>1.77483868630882E-3</v>
      </c>
      <c r="Q63" s="87"/>
    </row>
    <row r="64" spans="1:17" x14ac:dyDescent="0.25">
      <c r="A64" s="316"/>
      <c r="B64" s="68">
        <v>54</v>
      </c>
      <c r="C64" s="68">
        <v>60110056</v>
      </c>
      <c r="D64" s="68">
        <v>250</v>
      </c>
      <c r="E64" s="91">
        <v>10</v>
      </c>
      <c r="F64" s="68">
        <v>154</v>
      </c>
      <c r="G64" s="68">
        <v>40</v>
      </c>
      <c r="H64" s="68">
        <f t="shared" si="8"/>
        <v>120.78562500000001</v>
      </c>
      <c r="I64" s="1">
        <f t="shared" si="1"/>
        <v>33.21437499999999</v>
      </c>
      <c r="J64" s="1">
        <f t="shared" si="2"/>
        <v>-28.985624999999999</v>
      </c>
      <c r="K64" t="str">
        <f t="shared" si="3"/>
        <v>KO</v>
      </c>
      <c r="L64" s="1">
        <f t="shared" si="4"/>
        <v>129.21437499999999</v>
      </c>
      <c r="M64" s="1">
        <f t="shared" si="5"/>
        <v>120.78562500000001</v>
      </c>
      <c r="O64" s="160">
        <f t="shared" si="6"/>
        <v>40</v>
      </c>
      <c r="P64" s="51">
        <f t="shared" si="7"/>
        <v>0.27498615832802942</v>
      </c>
      <c r="Q64" s="87"/>
    </row>
    <row r="65" spans="1:17" x14ac:dyDescent="0.25">
      <c r="A65" s="316"/>
      <c r="B65" s="68">
        <v>55</v>
      </c>
      <c r="C65" s="68">
        <v>60110094</v>
      </c>
      <c r="D65" s="68">
        <v>290</v>
      </c>
      <c r="E65" s="91">
        <v>10.5</v>
      </c>
      <c r="F65" s="68">
        <v>177</v>
      </c>
      <c r="G65" s="68">
        <v>40</v>
      </c>
      <c r="H65" s="68">
        <f t="shared" si="8"/>
        <v>120.78562500000001</v>
      </c>
      <c r="I65" s="1">
        <f t="shared" si="1"/>
        <v>56.21437499999999</v>
      </c>
      <c r="J65" s="1">
        <f t="shared" si="2"/>
        <v>-5.9856249999999989</v>
      </c>
      <c r="K65" t="str">
        <f t="shared" si="3"/>
        <v>KO</v>
      </c>
      <c r="L65" s="1">
        <f t="shared" si="4"/>
        <v>169.21437499999999</v>
      </c>
      <c r="M65" s="1">
        <f t="shared" si="5"/>
        <v>120.78562500000001</v>
      </c>
      <c r="O65" s="160">
        <f t="shared" si="6"/>
        <v>40</v>
      </c>
      <c r="P65" s="51">
        <f t="shared" si="7"/>
        <v>0.4654061689874105</v>
      </c>
      <c r="Q65" s="87"/>
    </row>
    <row r="66" spans="1:17" x14ac:dyDescent="0.25">
      <c r="A66" s="316"/>
      <c r="B66" s="68">
        <v>56</v>
      </c>
      <c r="C66" s="68">
        <v>60110072</v>
      </c>
      <c r="D66" s="68">
        <v>250</v>
      </c>
      <c r="E66" s="91">
        <v>10.5</v>
      </c>
      <c r="F66" s="68">
        <v>145</v>
      </c>
      <c r="G66" s="68">
        <v>45</v>
      </c>
      <c r="H66" s="68">
        <f t="shared" si="8"/>
        <v>107.36500000000001</v>
      </c>
      <c r="I66" s="1">
        <f t="shared" si="1"/>
        <v>37.634999999999991</v>
      </c>
      <c r="J66" s="1">
        <f t="shared" si="2"/>
        <v>-24.564999999999998</v>
      </c>
      <c r="K66" t="str">
        <f t="shared" si="3"/>
        <v>KO</v>
      </c>
      <c r="L66" s="1">
        <f t="shared" si="4"/>
        <v>142.63499999999999</v>
      </c>
      <c r="M66" s="1">
        <f t="shared" si="5"/>
        <v>107.36500000000001</v>
      </c>
      <c r="O66" s="160">
        <f t="shared" si="6"/>
        <v>45</v>
      </c>
      <c r="P66" s="51">
        <f t="shared" si="7"/>
        <v>0.35053322777441426</v>
      </c>
      <c r="Q66" s="87"/>
    </row>
    <row r="67" spans="1:17" x14ac:dyDescent="0.25">
      <c r="A67" s="316"/>
      <c r="B67" s="68">
        <v>57</v>
      </c>
      <c r="C67" s="68">
        <v>60110062</v>
      </c>
      <c r="D67" s="68">
        <v>140</v>
      </c>
      <c r="E67" s="91">
        <v>9</v>
      </c>
      <c r="F67" s="68">
        <v>90</v>
      </c>
      <c r="G67" s="68">
        <v>50</v>
      </c>
      <c r="H67" s="68">
        <f t="shared" si="8"/>
        <v>96.628500000000003</v>
      </c>
      <c r="I67" s="1">
        <f t="shared" si="1"/>
        <v>-6.6285000000000025</v>
      </c>
      <c r="J67" s="1">
        <f t="shared" si="2"/>
        <v>-68.828499999999991</v>
      </c>
      <c r="K67" t="str">
        <f t="shared" si="3"/>
        <v>KO</v>
      </c>
      <c r="L67" s="1">
        <f t="shared" si="4"/>
        <v>43.371499999999997</v>
      </c>
      <c r="M67" s="1">
        <f t="shared" si="5"/>
        <v>96.628500000000003</v>
      </c>
      <c r="O67" s="160">
        <f t="shared" si="6"/>
        <v>50</v>
      </c>
      <c r="P67" s="51">
        <f t="shared" si="7"/>
        <v>-6.8597773948679761E-2</v>
      </c>
      <c r="Q67" s="87"/>
    </row>
    <row r="68" spans="1:17" x14ac:dyDescent="0.25">
      <c r="A68" s="316"/>
      <c r="B68" s="68">
        <v>58</v>
      </c>
      <c r="C68" s="68">
        <v>60110046</v>
      </c>
      <c r="D68" s="68">
        <v>170</v>
      </c>
      <c r="E68" s="91">
        <v>9.5</v>
      </c>
      <c r="F68" s="68">
        <v>104</v>
      </c>
      <c r="G68" s="68">
        <v>50</v>
      </c>
      <c r="H68" s="68">
        <f t="shared" si="8"/>
        <v>96.628500000000003</v>
      </c>
      <c r="I68" s="1">
        <f t="shared" si="1"/>
        <v>7.3714999999999975</v>
      </c>
      <c r="J68" s="1">
        <f t="shared" si="2"/>
        <v>-54.828499999999991</v>
      </c>
      <c r="K68" t="str">
        <f t="shared" si="3"/>
        <v>KO</v>
      </c>
      <c r="L68" s="1">
        <f t="shared" si="4"/>
        <v>73.371499999999997</v>
      </c>
      <c r="M68" s="1">
        <f t="shared" si="5"/>
        <v>96.628500000000003</v>
      </c>
      <c r="O68" s="160">
        <f t="shared" si="6"/>
        <v>50</v>
      </c>
      <c r="P68" s="51">
        <f t="shared" si="7"/>
        <v>7.6287016770414495E-2</v>
      </c>
      <c r="Q68" s="87"/>
    </row>
    <row r="69" spans="1:17" x14ac:dyDescent="0.25">
      <c r="A69" s="316"/>
      <c r="B69" s="68">
        <v>59</v>
      </c>
      <c r="C69" s="68">
        <v>60110069</v>
      </c>
      <c r="D69" s="68">
        <v>200</v>
      </c>
      <c r="E69" s="91">
        <v>10</v>
      </c>
      <c r="F69" s="68">
        <v>124</v>
      </c>
      <c r="G69" s="68">
        <v>50</v>
      </c>
      <c r="H69" s="68">
        <f t="shared" si="8"/>
        <v>96.628500000000003</v>
      </c>
      <c r="I69" s="1">
        <f t="shared" si="1"/>
        <v>27.371499999999997</v>
      </c>
      <c r="J69" s="1">
        <f t="shared" si="2"/>
        <v>-34.828499999999991</v>
      </c>
      <c r="K69" t="str">
        <f t="shared" si="3"/>
        <v>KO</v>
      </c>
      <c r="L69" s="1">
        <f t="shared" si="4"/>
        <v>103.3715</v>
      </c>
      <c r="M69" s="1">
        <f t="shared" si="5"/>
        <v>96.628500000000003</v>
      </c>
      <c r="O69" s="160">
        <f t="shared" si="6"/>
        <v>50</v>
      </c>
      <c r="P69" s="51">
        <f t="shared" si="7"/>
        <v>0.28326528922626343</v>
      </c>
      <c r="Q69" s="87"/>
    </row>
    <row r="70" spans="1:17" x14ac:dyDescent="0.25">
      <c r="A70" s="316"/>
      <c r="B70" s="68">
        <v>60</v>
      </c>
      <c r="C70" s="68">
        <v>60110073</v>
      </c>
      <c r="D70" s="68">
        <v>250</v>
      </c>
      <c r="E70" s="91">
        <v>10.75</v>
      </c>
      <c r="F70" s="68">
        <v>144</v>
      </c>
      <c r="G70" s="68">
        <v>50</v>
      </c>
      <c r="H70" s="68">
        <f t="shared" si="8"/>
        <v>96.628500000000003</v>
      </c>
      <c r="I70" s="1">
        <f t="shared" si="1"/>
        <v>47.371499999999997</v>
      </c>
      <c r="J70" s="1">
        <f t="shared" si="2"/>
        <v>-14.828499999999991</v>
      </c>
      <c r="K70" t="str">
        <f t="shared" si="3"/>
        <v>KO</v>
      </c>
      <c r="L70" s="1">
        <f t="shared" si="4"/>
        <v>153.3715</v>
      </c>
      <c r="M70" s="1">
        <f t="shared" si="5"/>
        <v>96.628500000000003</v>
      </c>
      <c r="O70" s="160">
        <f t="shared" si="6"/>
        <v>50</v>
      </c>
      <c r="P70" s="51">
        <f t="shared" si="7"/>
        <v>0.49024356168211236</v>
      </c>
      <c r="Q70" s="87"/>
    </row>
    <row r="71" spans="1:17" x14ac:dyDescent="0.25">
      <c r="A71" s="316"/>
      <c r="B71" s="68">
        <v>61</v>
      </c>
      <c r="C71" s="68">
        <v>60110095</v>
      </c>
      <c r="D71" s="68">
        <v>290</v>
      </c>
      <c r="E71" s="91">
        <v>11.25</v>
      </c>
      <c r="F71" s="68">
        <v>170</v>
      </c>
      <c r="G71" s="68">
        <v>50</v>
      </c>
      <c r="H71" s="68">
        <f t="shared" si="8"/>
        <v>96.628500000000003</v>
      </c>
      <c r="I71" s="1">
        <f t="shared" si="1"/>
        <v>73.371499999999997</v>
      </c>
      <c r="J71" s="1">
        <f t="shared" si="2"/>
        <v>11.171500000000009</v>
      </c>
      <c r="K71" t="str">
        <f t="shared" si="3"/>
        <v>OK</v>
      </c>
      <c r="L71" s="1">
        <f t="shared" si="4"/>
        <v>193.3715</v>
      </c>
      <c r="M71" s="1">
        <f t="shared" si="5"/>
        <v>96.628500000000003</v>
      </c>
      <c r="O71" s="160">
        <f t="shared" si="6"/>
        <v>50</v>
      </c>
      <c r="P71" s="51">
        <f t="shared" si="7"/>
        <v>0.75931531587471601</v>
      </c>
      <c r="Q71" s="87"/>
    </row>
    <row r="72" spans="1:17" x14ac:dyDescent="0.25">
      <c r="A72" s="316"/>
      <c r="B72" s="68">
        <v>62</v>
      </c>
      <c r="C72" s="68">
        <v>60110057</v>
      </c>
      <c r="D72" s="68">
        <v>300</v>
      </c>
      <c r="E72" s="91">
        <v>12</v>
      </c>
      <c r="F72" s="68">
        <v>135</v>
      </c>
      <c r="G72" s="68">
        <v>50</v>
      </c>
      <c r="H72" s="68">
        <f t="shared" si="8"/>
        <v>96.628500000000003</v>
      </c>
      <c r="I72" s="1">
        <f t="shared" si="1"/>
        <v>38.371499999999997</v>
      </c>
      <c r="J72" s="1">
        <f t="shared" si="2"/>
        <v>-23.828499999999991</v>
      </c>
      <c r="K72" t="str">
        <f t="shared" si="3"/>
        <v>KO</v>
      </c>
      <c r="L72" s="1">
        <f t="shared" si="4"/>
        <v>203.3715</v>
      </c>
      <c r="M72" s="1">
        <f t="shared" si="5"/>
        <v>96.628500000000003</v>
      </c>
      <c r="O72" s="160">
        <f t="shared" si="6"/>
        <v>50</v>
      </c>
      <c r="P72" s="51">
        <f t="shared" si="7"/>
        <v>0.39710333907698037</v>
      </c>
      <c r="Q72" s="87"/>
    </row>
    <row r="73" spans="1:17" x14ac:dyDescent="0.25">
      <c r="A73" s="316"/>
      <c r="B73" s="68">
        <v>63</v>
      </c>
      <c r="C73" s="68">
        <v>60110097</v>
      </c>
      <c r="D73" s="68">
        <v>320</v>
      </c>
      <c r="E73" s="91">
        <v>12.25</v>
      </c>
      <c r="F73" s="68">
        <v>183</v>
      </c>
      <c r="G73" s="68">
        <v>50</v>
      </c>
      <c r="H73" s="68">
        <f t="shared" si="8"/>
        <v>96.628500000000003</v>
      </c>
      <c r="I73" s="1">
        <f t="shared" si="1"/>
        <v>86.371499999999997</v>
      </c>
      <c r="J73" s="1">
        <f t="shared" si="2"/>
        <v>24.171500000000009</v>
      </c>
      <c r="K73" t="str">
        <f t="shared" si="3"/>
        <v>OK</v>
      </c>
      <c r="L73" s="1">
        <f t="shared" si="4"/>
        <v>223.3715</v>
      </c>
      <c r="M73" s="1">
        <f t="shared" si="5"/>
        <v>96.628500000000003</v>
      </c>
      <c r="O73" s="160">
        <f t="shared" si="6"/>
        <v>50</v>
      </c>
      <c r="P73" s="51">
        <f t="shared" si="7"/>
        <v>0.89385119297101778</v>
      </c>
      <c r="Q73" s="87"/>
    </row>
    <row r="74" spans="1:17" x14ac:dyDescent="0.25">
      <c r="A74" s="316"/>
      <c r="B74" s="68">
        <v>64</v>
      </c>
      <c r="C74" s="68">
        <v>60110103</v>
      </c>
      <c r="D74" s="68">
        <v>120</v>
      </c>
      <c r="E74" s="91">
        <v>9</v>
      </c>
      <c r="F74" s="68">
        <v>75</v>
      </c>
      <c r="G74" s="68">
        <v>60</v>
      </c>
      <c r="H74" s="68">
        <f t="shared" si="8"/>
        <v>80.523750000000007</v>
      </c>
      <c r="I74" s="1">
        <f t="shared" si="1"/>
        <v>-5.5237500000000068</v>
      </c>
      <c r="J74" s="1">
        <f t="shared" si="2"/>
        <v>-67.723749999999995</v>
      </c>
      <c r="K74" t="str">
        <f t="shared" si="3"/>
        <v>KO</v>
      </c>
      <c r="L74" s="1">
        <f t="shared" si="4"/>
        <v>39.476249999999993</v>
      </c>
      <c r="M74" s="1">
        <f t="shared" si="5"/>
        <v>80.523750000000007</v>
      </c>
      <c r="O74" s="160">
        <f t="shared" si="6"/>
        <v>60</v>
      </c>
      <c r="P74" s="51">
        <f t="shared" si="7"/>
        <v>-6.8597773948679816E-2</v>
      </c>
      <c r="Q74" s="87"/>
    </row>
    <row r="75" spans="1:17" x14ac:dyDescent="0.25">
      <c r="A75" s="316"/>
      <c r="B75" s="68">
        <v>65</v>
      </c>
      <c r="C75" s="68">
        <v>60110063</v>
      </c>
      <c r="D75" s="68">
        <v>140</v>
      </c>
      <c r="E75" s="91">
        <v>9.5</v>
      </c>
      <c r="F75" s="68">
        <v>83</v>
      </c>
      <c r="G75" s="68">
        <v>60</v>
      </c>
      <c r="H75" s="68">
        <f t="shared" ref="H75:H106" si="9">$B$2/2*9.81*$B$3/G75</f>
        <v>80.523750000000007</v>
      </c>
      <c r="I75" s="1">
        <f t="shared" si="1"/>
        <v>2.4762499999999932</v>
      </c>
      <c r="J75" s="1">
        <f t="shared" si="2"/>
        <v>-59.723749999999995</v>
      </c>
      <c r="K75" t="str">
        <f t="shared" si="3"/>
        <v>KO</v>
      </c>
      <c r="L75" s="1">
        <f t="shared" si="4"/>
        <v>59.476249999999993</v>
      </c>
      <c r="M75" s="1">
        <f t="shared" si="5"/>
        <v>80.523750000000007</v>
      </c>
      <c r="O75" s="160">
        <f t="shared" si="6"/>
        <v>60</v>
      </c>
      <c r="P75" s="51">
        <f t="shared" si="7"/>
        <v>3.0751796830127673E-2</v>
      </c>
      <c r="Q75" s="87"/>
    </row>
    <row r="76" spans="1:17" x14ac:dyDescent="0.25">
      <c r="A76" s="316"/>
      <c r="B76" s="68">
        <v>66</v>
      </c>
      <c r="C76" s="68">
        <v>60110068</v>
      </c>
      <c r="D76" s="68">
        <v>160</v>
      </c>
      <c r="E76" s="91">
        <v>9.75</v>
      </c>
      <c r="F76" s="68">
        <v>97</v>
      </c>
      <c r="G76" s="68">
        <v>60</v>
      </c>
      <c r="H76" s="68">
        <f t="shared" si="9"/>
        <v>80.523750000000007</v>
      </c>
      <c r="I76" s="1">
        <f t="shared" ref="I76:I139" si="10">F76-H76</f>
        <v>16.476249999999993</v>
      </c>
      <c r="J76" s="1">
        <f t="shared" ref="J76:J139" si="11">I76-$M$4</f>
        <v>-45.723749999999995</v>
      </c>
      <c r="K76" t="str">
        <f t="shared" ref="K76:K139" si="12">IF(J76&lt;=0,"KO","OK")</f>
        <v>KO</v>
      </c>
      <c r="L76" s="1">
        <f t="shared" ref="L76:L139" si="13">D76-H76</f>
        <v>79.476249999999993</v>
      </c>
      <c r="M76" s="1">
        <f t="shared" ref="M76:M139" si="14">D76-L76</f>
        <v>80.523750000000007</v>
      </c>
      <c r="O76" s="160">
        <f t="shared" ref="O76:O139" si="15">G76/$B$3^2</f>
        <v>60</v>
      </c>
      <c r="P76" s="51">
        <f t="shared" ref="P76:P139" si="16">G76*I76/$B$3/($B$2*9.81*0.5)</f>
        <v>0.20461354569304077</v>
      </c>
      <c r="Q76" s="87"/>
    </row>
    <row r="77" spans="1:17" x14ac:dyDescent="0.25">
      <c r="A77" s="316"/>
      <c r="B77" s="68">
        <v>67</v>
      </c>
      <c r="C77" s="68">
        <v>60110020</v>
      </c>
      <c r="D77" s="68">
        <v>170</v>
      </c>
      <c r="E77" s="91">
        <v>10</v>
      </c>
      <c r="F77" s="68">
        <v>101</v>
      </c>
      <c r="G77" s="68">
        <v>60</v>
      </c>
      <c r="H77" s="68">
        <f t="shared" si="9"/>
        <v>80.523750000000007</v>
      </c>
      <c r="I77" s="1">
        <f t="shared" si="10"/>
        <v>20.476249999999993</v>
      </c>
      <c r="J77" s="1">
        <f t="shared" si="11"/>
        <v>-41.723749999999995</v>
      </c>
      <c r="K77" t="str">
        <f t="shared" si="12"/>
        <v>KO</v>
      </c>
      <c r="L77" s="1">
        <f t="shared" si="13"/>
        <v>89.476249999999993</v>
      </c>
      <c r="M77" s="1">
        <f t="shared" si="14"/>
        <v>80.523750000000007</v>
      </c>
      <c r="O77" s="160">
        <f t="shared" si="15"/>
        <v>60</v>
      </c>
      <c r="P77" s="51">
        <f t="shared" si="16"/>
        <v>0.25428833108244453</v>
      </c>
      <c r="Q77" s="87"/>
    </row>
    <row r="78" spans="1:17" x14ac:dyDescent="0.25">
      <c r="A78" s="316"/>
      <c r="B78" s="68">
        <v>68</v>
      </c>
      <c r="C78" s="68">
        <v>60110070</v>
      </c>
      <c r="D78" s="68">
        <v>200</v>
      </c>
      <c r="E78" s="91">
        <v>10.5</v>
      </c>
      <c r="F78" s="68">
        <v>118</v>
      </c>
      <c r="G78" s="68">
        <v>60</v>
      </c>
      <c r="H78" s="68">
        <f t="shared" si="9"/>
        <v>80.523750000000007</v>
      </c>
      <c r="I78" s="1">
        <f t="shared" si="10"/>
        <v>37.476249999999993</v>
      </c>
      <c r="J78" s="1">
        <f t="shared" si="11"/>
        <v>-24.723749999999995</v>
      </c>
      <c r="K78" t="str">
        <f t="shared" si="12"/>
        <v>KO</v>
      </c>
      <c r="L78" s="1">
        <f t="shared" si="13"/>
        <v>119.47624999999999</v>
      </c>
      <c r="M78" s="1">
        <f t="shared" si="14"/>
        <v>80.523750000000007</v>
      </c>
      <c r="O78" s="160">
        <f t="shared" si="15"/>
        <v>60</v>
      </c>
      <c r="P78" s="51">
        <f t="shared" si="16"/>
        <v>0.4654061689874105</v>
      </c>
      <c r="Q78" s="87"/>
    </row>
    <row r="79" spans="1:17" x14ac:dyDescent="0.25">
      <c r="A79" s="316"/>
      <c r="B79" s="68">
        <v>69</v>
      </c>
      <c r="C79" s="68">
        <v>60110022</v>
      </c>
      <c r="D79" s="68">
        <v>250</v>
      </c>
      <c r="E79" s="91">
        <v>12</v>
      </c>
      <c r="F79" s="68">
        <v>112</v>
      </c>
      <c r="G79" s="68">
        <v>60</v>
      </c>
      <c r="H79" s="68">
        <f t="shared" si="9"/>
        <v>80.523750000000007</v>
      </c>
      <c r="I79" s="1">
        <f t="shared" si="10"/>
        <v>31.476249999999993</v>
      </c>
      <c r="J79" s="1">
        <f t="shared" si="11"/>
        <v>-30.723749999999995</v>
      </c>
      <c r="K79" t="str">
        <f t="shared" si="12"/>
        <v>KO</v>
      </c>
      <c r="L79" s="1">
        <f t="shared" si="13"/>
        <v>169.47624999999999</v>
      </c>
      <c r="M79" s="1">
        <f t="shared" si="14"/>
        <v>80.523750000000007</v>
      </c>
      <c r="O79" s="160">
        <f t="shared" si="15"/>
        <v>60</v>
      </c>
      <c r="P79" s="51">
        <f t="shared" si="16"/>
        <v>0.39089399090330484</v>
      </c>
      <c r="Q79" s="87"/>
    </row>
    <row r="80" spans="1:17" x14ac:dyDescent="0.25">
      <c r="A80" s="316"/>
      <c r="B80" s="68">
        <v>70</v>
      </c>
      <c r="C80" s="68">
        <v>60110074</v>
      </c>
      <c r="D80" s="68">
        <v>250</v>
      </c>
      <c r="E80" s="91">
        <v>11.25</v>
      </c>
      <c r="F80" s="68">
        <v>143</v>
      </c>
      <c r="G80" s="68">
        <v>60</v>
      </c>
      <c r="H80" s="68">
        <f t="shared" si="9"/>
        <v>80.523750000000007</v>
      </c>
      <c r="I80" s="1">
        <f t="shared" si="10"/>
        <v>62.476249999999993</v>
      </c>
      <c r="J80" s="1">
        <f t="shared" si="11"/>
        <v>0.27625000000000455</v>
      </c>
      <c r="K80" t="str">
        <f t="shared" si="12"/>
        <v>OK</v>
      </c>
      <c r="L80" s="1">
        <f t="shared" si="13"/>
        <v>169.47624999999999</v>
      </c>
      <c r="M80" s="1">
        <f t="shared" si="14"/>
        <v>80.523750000000007</v>
      </c>
      <c r="O80" s="160">
        <f t="shared" si="15"/>
        <v>60</v>
      </c>
      <c r="P80" s="51">
        <f t="shared" si="16"/>
        <v>0.77587357767118392</v>
      </c>
      <c r="Q80" s="87"/>
    </row>
    <row r="81" spans="1:17" x14ac:dyDescent="0.25">
      <c r="A81" s="316"/>
      <c r="B81" s="68">
        <v>71</v>
      </c>
      <c r="C81" s="68">
        <v>60110096</v>
      </c>
      <c r="D81" s="68">
        <v>290</v>
      </c>
      <c r="E81" s="91">
        <v>12</v>
      </c>
      <c r="F81" s="68">
        <v>155</v>
      </c>
      <c r="G81" s="68">
        <v>60</v>
      </c>
      <c r="H81" s="68">
        <f t="shared" si="9"/>
        <v>80.523750000000007</v>
      </c>
      <c r="I81" s="1">
        <f t="shared" si="10"/>
        <v>74.476249999999993</v>
      </c>
      <c r="J81" s="1">
        <f t="shared" si="11"/>
        <v>12.276250000000005</v>
      </c>
      <c r="K81" t="str">
        <f t="shared" si="12"/>
        <v>OK</v>
      </c>
      <c r="L81" s="1">
        <f t="shared" si="13"/>
        <v>209.47624999999999</v>
      </c>
      <c r="M81" s="1">
        <f t="shared" si="14"/>
        <v>80.523750000000007</v>
      </c>
      <c r="O81" s="160">
        <f t="shared" si="15"/>
        <v>60</v>
      </c>
      <c r="P81" s="51">
        <f t="shared" si="16"/>
        <v>0.92489793383939511</v>
      </c>
      <c r="Q81" s="87"/>
    </row>
    <row r="82" spans="1:17" x14ac:dyDescent="0.25">
      <c r="A82" s="316"/>
      <c r="B82" s="68">
        <v>72</v>
      </c>
      <c r="C82" s="68">
        <v>60110098</v>
      </c>
      <c r="D82" s="68">
        <v>320</v>
      </c>
      <c r="E82" s="91">
        <v>12.25</v>
      </c>
      <c r="F82" s="68">
        <v>172</v>
      </c>
      <c r="G82" s="68">
        <v>60</v>
      </c>
      <c r="H82" s="68">
        <f t="shared" si="9"/>
        <v>80.523750000000007</v>
      </c>
      <c r="I82" s="1">
        <f t="shared" si="10"/>
        <v>91.476249999999993</v>
      </c>
      <c r="J82" s="1">
        <f t="shared" si="11"/>
        <v>29.276250000000005</v>
      </c>
      <c r="K82" t="str">
        <f t="shared" si="12"/>
        <v>OK</v>
      </c>
      <c r="L82" s="1">
        <f t="shared" si="13"/>
        <v>239.47624999999999</v>
      </c>
      <c r="M82" s="1">
        <f t="shared" si="14"/>
        <v>80.523750000000007</v>
      </c>
      <c r="O82" s="160">
        <f t="shared" si="15"/>
        <v>60</v>
      </c>
      <c r="P82" s="51">
        <f t="shared" si="16"/>
        <v>1.1360157717443611</v>
      </c>
      <c r="Q82" s="87"/>
    </row>
    <row r="83" spans="1:17" x14ac:dyDescent="0.25">
      <c r="A83" s="316"/>
      <c r="B83" s="68">
        <v>73</v>
      </c>
      <c r="C83" s="68">
        <v>60110166</v>
      </c>
      <c r="D83" s="68">
        <v>100</v>
      </c>
      <c r="E83" s="91">
        <v>9</v>
      </c>
      <c r="F83" s="68">
        <v>60</v>
      </c>
      <c r="G83" s="68">
        <v>70</v>
      </c>
      <c r="H83" s="68">
        <f t="shared" si="9"/>
        <v>69.020357142857151</v>
      </c>
      <c r="I83" s="1">
        <f t="shared" si="10"/>
        <v>-9.0203571428571507</v>
      </c>
      <c r="J83" s="1">
        <f t="shared" si="11"/>
        <v>-71.220357142857139</v>
      </c>
      <c r="K83" t="str">
        <f t="shared" si="12"/>
        <v>KO</v>
      </c>
      <c r="L83" s="1">
        <f t="shared" si="13"/>
        <v>30.979642857142849</v>
      </c>
      <c r="M83" s="1">
        <f t="shared" si="14"/>
        <v>69.020357142857151</v>
      </c>
      <c r="O83" s="160">
        <f t="shared" si="15"/>
        <v>70</v>
      </c>
      <c r="P83" s="51">
        <f t="shared" si="16"/>
        <v>-0.13069125568543452</v>
      </c>
      <c r="Q83" s="87"/>
    </row>
    <row r="84" spans="1:17" x14ac:dyDescent="0.25">
      <c r="A84" s="316"/>
      <c r="B84" s="68">
        <v>74</v>
      </c>
      <c r="C84" s="68">
        <v>60110023</v>
      </c>
      <c r="D84" s="68">
        <v>140</v>
      </c>
      <c r="E84" s="91">
        <v>9.75</v>
      </c>
      <c r="F84" s="68">
        <v>84</v>
      </c>
      <c r="G84" s="68">
        <v>70</v>
      </c>
      <c r="H84" s="68">
        <f t="shared" si="9"/>
        <v>69.020357142857151</v>
      </c>
      <c r="I84" s="1">
        <f t="shared" si="10"/>
        <v>14.979642857142849</v>
      </c>
      <c r="J84" s="1">
        <f t="shared" si="11"/>
        <v>-47.220357142857139</v>
      </c>
      <c r="K84" t="str">
        <f t="shared" si="12"/>
        <v>KO</v>
      </c>
      <c r="L84" s="1">
        <f t="shared" si="13"/>
        <v>70.979642857142849</v>
      </c>
      <c r="M84" s="1">
        <f t="shared" si="14"/>
        <v>69.020357142857151</v>
      </c>
      <c r="O84" s="160">
        <f t="shared" si="15"/>
        <v>70</v>
      </c>
      <c r="P84" s="51">
        <f t="shared" si="16"/>
        <v>0.21703224204039168</v>
      </c>
      <c r="Q84" s="87"/>
    </row>
    <row r="85" spans="1:17" x14ac:dyDescent="0.25">
      <c r="A85" s="316"/>
      <c r="B85" s="68">
        <v>75</v>
      </c>
      <c r="C85" s="68">
        <v>60110025</v>
      </c>
      <c r="D85" s="68">
        <v>170</v>
      </c>
      <c r="E85" s="91">
        <v>10.5</v>
      </c>
      <c r="F85" s="68">
        <v>97</v>
      </c>
      <c r="G85" s="68">
        <v>70</v>
      </c>
      <c r="H85" s="68">
        <f t="shared" si="9"/>
        <v>69.020357142857151</v>
      </c>
      <c r="I85" s="1">
        <f t="shared" si="10"/>
        <v>27.979642857142849</v>
      </c>
      <c r="J85" s="1">
        <f t="shared" si="11"/>
        <v>-34.220357142857139</v>
      </c>
      <c r="K85" t="str">
        <f t="shared" si="12"/>
        <v>KO</v>
      </c>
      <c r="L85" s="1">
        <f t="shared" si="13"/>
        <v>100.97964285714285</v>
      </c>
      <c r="M85" s="1">
        <f t="shared" si="14"/>
        <v>69.020357142857151</v>
      </c>
      <c r="O85" s="160">
        <f t="shared" si="15"/>
        <v>70</v>
      </c>
      <c r="P85" s="51">
        <f t="shared" si="16"/>
        <v>0.40538246997521421</v>
      </c>
      <c r="Q85" s="87"/>
    </row>
    <row r="86" spans="1:17" x14ac:dyDescent="0.25">
      <c r="A86" s="316"/>
      <c r="B86" s="68">
        <v>76</v>
      </c>
      <c r="C86" s="68">
        <v>60110071</v>
      </c>
      <c r="D86" s="68">
        <v>200</v>
      </c>
      <c r="E86" s="91">
        <v>11</v>
      </c>
      <c r="F86" s="68">
        <v>113</v>
      </c>
      <c r="G86" s="68">
        <v>70</v>
      </c>
      <c r="H86" s="68">
        <f t="shared" si="9"/>
        <v>69.020357142857151</v>
      </c>
      <c r="I86" s="1">
        <f t="shared" si="10"/>
        <v>43.979642857142849</v>
      </c>
      <c r="J86" s="1">
        <f t="shared" si="11"/>
        <v>-18.220357142857139</v>
      </c>
      <c r="K86" t="str">
        <f t="shared" si="12"/>
        <v>KO</v>
      </c>
      <c r="L86" s="1">
        <f t="shared" si="13"/>
        <v>130.97964285714284</v>
      </c>
      <c r="M86" s="1">
        <f t="shared" si="14"/>
        <v>69.020357142857165</v>
      </c>
      <c r="O86" s="160">
        <f t="shared" si="15"/>
        <v>70</v>
      </c>
      <c r="P86" s="51">
        <f t="shared" si="16"/>
        <v>0.63719813512576506</v>
      </c>
      <c r="Q86" s="87"/>
    </row>
    <row r="87" spans="1:17" x14ac:dyDescent="0.25">
      <c r="A87" s="316"/>
      <c r="B87" s="68">
        <v>77</v>
      </c>
      <c r="C87" s="68">
        <v>60110026</v>
      </c>
      <c r="D87" s="68">
        <v>250</v>
      </c>
      <c r="E87" s="91">
        <v>12.75</v>
      </c>
      <c r="F87" s="68">
        <v>124</v>
      </c>
      <c r="G87" s="68">
        <v>70</v>
      </c>
      <c r="H87" s="68">
        <f t="shared" si="9"/>
        <v>69.020357142857151</v>
      </c>
      <c r="I87" s="1">
        <f t="shared" si="10"/>
        <v>54.979642857142849</v>
      </c>
      <c r="J87" s="1">
        <f t="shared" si="11"/>
        <v>-7.2203571428571394</v>
      </c>
      <c r="K87" t="str">
        <f t="shared" si="12"/>
        <v>KO</v>
      </c>
      <c r="L87" s="1">
        <f t="shared" si="13"/>
        <v>180.97964285714284</v>
      </c>
      <c r="M87" s="1">
        <f t="shared" si="14"/>
        <v>69.020357142857165</v>
      </c>
      <c r="O87" s="160">
        <f t="shared" si="15"/>
        <v>70</v>
      </c>
      <c r="P87" s="51">
        <f t="shared" si="16"/>
        <v>0.7965714049167687</v>
      </c>
      <c r="Q87" s="87"/>
    </row>
    <row r="88" spans="1:17" x14ac:dyDescent="0.25">
      <c r="A88" s="316"/>
      <c r="B88" s="68">
        <v>78</v>
      </c>
      <c r="C88" s="68">
        <v>60110075</v>
      </c>
      <c r="D88" s="68">
        <v>250</v>
      </c>
      <c r="E88" s="91">
        <v>11.75</v>
      </c>
      <c r="F88" s="68">
        <v>138</v>
      </c>
      <c r="G88" s="68">
        <v>70</v>
      </c>
      <c r="H88" s="68">
        <f t="shared" si="9"/>
        <v>69.020357142857151</v>
      </c>
      <c r="I88" s="1">
        <f t="shared" si="10"/>
        <v>68.979642857142849</v>
      </c>
      <c r="J88" s="1">
        <f t="shared" si="11"/>
        <v>6.7796428571428606</v>
      </c>
      <c r="K88" t="str">
        <f t="shared" si="12"/>
        <v>OK</v>
      </c>
      <c r="L88" s="1">
        <f t="shared" si="13"/>
        <v>180.97964285714284</v>
      </c>
      <c r="M88" s="1">
        <f t="shared" si="14"/>
        <v>69.020357142857165</v>
      </c>
      <c r="O88" s="160">
        <f t="shared" si="15"/>
        <v>70</v>
      </c>
      <c r="P88" s="51">
        <f t="shared" si="16"/>
        <v>0.99941011192350071</v>
      </c>
      <c r="Q88" s="87"/>
    </row>
    <row r="89" spans="1:17" x14ac:dyDescent="0.25">
      <c r="A89" s="316"/>
      <c r="B89" s="68">
        <v>79</v>
      </c>
      <c r="C89" s="68">
        <v>60110099</v>
      </c>
      <c r="D89" s="68">
        <v>320</v>
      </c>
      <c r="E89" s="91">
        <v>12.75</v>
      </c>
      <c r="F89" s="68">
        <v>171</v>
      </c>
      <c r="G89" s="68">
        <v>70</v>
      </c>
      <c r="H89" s="68">
        <f t="shared" si="9"/>
        <v>69.020357142857151</v>
      </c>
      <c r="I89" s="1">
        <f t="shared" si="10"/>
        <v>101.97964285714285</v>
      </c>
      <c r="J89" s="1">
        <f t="shared" si="11"/>
        <v>39.779642857142861</v>
      </c>
      <c r="K89" t="str">
        <f t="shared" si="12"/>
        <v>OK</v>
      </c>
      <c r="L89" s="1">
        <f t="shared" si="13"/>
        <v>250.97964285714284</v>
      </c>
      <c r="M89" s="1">
        <f t="shared" si="14"/>
        <v>69.020357142857165</v>
      </c>
      <c r="O89" s="160">
        <f t="shared" si="15"/>
        <v>70</v>
      </c>
      <c r="P89" s="51">
        <f t="shared" si="16"/>
        <v>1.4775299212965118</v>
      </c>
      <c r="Q89" s="87"/>
    </row>
    <row r="90" spans="1:17" x14ac:dyDescent="0.25">
      <c r="A90" s="316"/>
      <c r="B90" s="68">
        <v>80</v>
      </c>
      <c r="C90" s="68">
        <v>60110167</v>
      </c>
      <c r="D90" s="68">
        <v>100</v>
      </c>
      <c r="E90" s="91">
        <v>9.25</v>
      </c>
      <c r="F90" s="68">
        <v>64</v>
      </c>
      <c r="G90" s="68">
        <v>80</v>
      </c>
      <c r="H90" s="68">
        <f t="shared" si="9"/>
        <v>60.392812500000005</v>
      </c>
      <c r="I90" s="1">
        <f t="shared" si="10"/>
        <v>3.6071874999999949</v>
      </c>
      <c r="J90" s="1">
        <f t="shared" si="11"/>
        <v>-58.592812499999994</v>
      </c>
      <c r="K90" t="str">
        <f t="shared" si="12"/>
        <v>KO</v>
      </c>
      <c r="L90" s="1">
        <f t="shared" si="13"/>
        <v>39.607187499999995</v>
      </c>
      <c r="M90" s="1">
        <f t="shared" si="14"/>
        <v>60.392812500000005</v>
      </c>
      <c r="O90" s="160">
        <f t="shared" si="15"/>
        <v>80</v>
      </c>
      <c r="P90" s="51">
        <f t="shared" si="16"/>
        <v>5.9728754973946523E-2</v>
      </c>
      <c r="Q90" s="87"/>
    </row>
    <row r="91" spans="1:17" x14ac:dyDescent="0.25">
      <c r="A91" s="316"/>
      <c r="B91" s="68">
        <v>81</v>
      </c>
      <c r="C91" s="68">
        <v>60110058</v>
      </c>
      <c r="D91" s="68">
        <v>120</v>
      </c>
      <c r="E91" s="91">
        <v>9.75</v>
      </c>
      <c r="F91" s="68">
        <v>69</v>
      </c>
      <c r="G91" s="68">
        <v>80</v>
      </c>
      <c r="H91" s="68">
        <f t="shared" si="9"/>
        <v>60.392812500000005</v>
      </c>
      <c r="I91" s="1">
        <f t="shared" si="10"/>
        <v>8.6071874999999949</v>
      </c>
      <c r="J91" s="1">
        <f t="shared" si="11"/>
        <v>-53.592812499999994</v>
      </c>
      <c r="K91" t="str">
        <f t="shared" si="12"/>
        <v>KO</v>
      </c>
      <c r="L91" s="1">
        <f t="shared" si="13"/>
        <v>59.607187499999995</v>
      </c>
      <c r="M91" s="1">
        <f t="shared" si="14"/>
        <v>60.392812500000005</v>
      </c>
      <c r="O91" s="160">
        <f t="shared" si="15"/>
        <v>80</v>
      </c>
      <c r="P91" s="51">
        <f t="shared" si="16"/>
        <v>0.14252006395628611</v>
      </c>
      <c r="Q91" s="87"/>
    </row>
    <row r="92" spans="1:17" x14ac:dyDescent="0.25">
      <c r="A92" s="316"/>
      <c r="B92" s="68">
        <v>82</v>
      </c>
      <c r="C92" s="68">
        <v>60110064</v>
      </c>
      <c r="D92" s="68">
        <v>140</v>
      </c>
      <c r="E92" s="91">
        <v>10.25</v>
      </c>
      <c r="F92" s="68">
        <v>79</v>
      </c>
      <c r="G92" s="68">
        <v>80</v>
      </c>
      <c r="H92" s="68">
        <f t="shared" si="9"/>
        <v>60.392812500000005</v>
      </c>
      <c r="I92" s="1">
        <f t="shared" si="10"/>
        <v>18.607187499999995</v>
      </c>
      <c r="J92" s="1">
        <f t="shared" si="11"/>
        <v>-43.592812499999994</v>
      </c>
      <c r="K92" t="str">
        <f t="shared" si="12"/>
        <v>KO</v>
      </c>
      <c r="L92" s="1">
        <f t="shared" si="13"/>
        <v>79.607187499999995</v>
      </c>
      <c r="M92" s="1">
        <f t="shared" si="14"/>
        <v>60.392812500000005</v>
      </c>
      <c r="O92" s="160">
        <f t="shared" si="15"/>
        <v>80</v>
      </c>
      <c r="P92" s="51">
        <f t="shared" si="16"/>
        <v>0.30810268192096524</v>
      </c>
      <c r="Q92" s="87"/>
    </row>
    <row r="93" spans="1:17" x14ac:dyDescent="0.25">
      <c r="A93" s="316"/>
      <c r="B93" s="68">
        <v>83</v>
      </c>
      <c r="C93" s="68">
        <v>60110093</v>
      </c>
      <c r="D93" s="68">
        <v>150</v>
      </c>
      <c r="E93" s="91">
        <v>10.5</v>
      </c>
      <c r="F93" s="68">
        <v>84</v>
      </c>
      <c r="G93" s="68">
        <v>80</v>
      </c>
      <c r="H93" s="68">
        <f t="shared" si="9"/>
        <v>60.392812500000005</v>
      </c>
      <c r="I93" s="1">
        <f t="shared" si="10"/>
        <v>23.607187499999995</v>
      </c>
      <c r="J93" s="1">
        <f t="shared" si="11"/>
        <v>-38.592812499999994</v>
      </c>
      <c r="K93" t="str">
        <f t="shared" si="12"/>
        <v>KO</v>
      </c>
      <c r="L93" s="1">
        <f t="shared" si="13"/>
        <v>89.607187499999995</v>
      </c>
      <c r="M93" s="1">
        <f t="shared" si="14"/>
        <v>60.392812500000005</v>
      </c>
      <c r="O93" s="160">
        <f t="shared" si="15"/>
        <v>80</v>
      </c>
      <c r="P93" s="51">
        <f t="shared" si="16"/>
        <v>0.39089399090330484</v>
      </c>
      <c r="Q93" s="87"/>
    </row>
    <row r="94" spans="1:17" x14ac:dyDescent="0.25">
      <c r="A94" s="316"/>
      <c r="B94" s="68">
        <v>84</v>
      </c>
      <c r="C94" s="68">
        <v>60110047</v>
      </c>
      <c r="D94" s="68">
        <v>170</v>
      </c>
      <c r="E94" s="91">
        <v>11</v>
      </c>
      <c r="F94" s="68">
        <v>91</v>
      </c>
      <c r="G94" s="68">
        <v>80</v>
      </c>
      <c r="H94" s="68">
        <f t="shared" si="9"/>
        <v>60.392812500000005</v>
      </c>
      <c r="I94" s="1">
        <f t="shared" si="10"/>
        <v>30.607187499999995</v>
      </c>
      <c r="J94" s="1">
        <f t="shared" si="11"/>
        <v>-31.592812499999994</v>
      </c>
      <c r="K94" t="str">
        <f t="shared" si="12"/>
        <v>KO</v>
      </c>
      <c r="L94" s="1">
        <f t="shared" si="13"/>
        <v>109.60718749999999</v>
      </c>
      <c r="M94" s="1">
        <f t="shared" si="14"/>
        <v>60.392812500000005</v>
      </c>
      <c r="O94" s="160">
        <f t="shared" si="15"/>
        <v>80</v>
      </c>
      <c r="P94" s="51">
        <f t="shared" si="16"/>
        <v>0.50680182347858027</v>
      </c>
      <c r="Q94" s="87"/>
    </row>
    <row r="95" spans="1:17" x14ac:dyDescent="0.25">
      <c r="A95" s="316"/>
      <c r="B95" s="68">
        <v>85</v>
      </c>
      <c r="C95" s="68">
        <v>60110077</v>
      </c>
      <c r="D95" s="68">
        <v>200</v>
      </c>
      <c r="E95" s="91">
        <v>11.5</v>
      </c>
      <c r="F95" s="68">
        <v>108</v>
      </c>
      <c r="G95" s="68">
        <v>80</v>
      </c>
      <c r="H95" s="68">
        <f t="shared" si="9"/>
        <v>60.392812500000005</v>
      </c>
      <c r="I95" s="1">
        <f t="shared" si="10"/>
        <v>47.607187499999995</v>
      </c>
      <c r="J95" s="1">
        <f t="shared" si="11"/>
        <v>-14.592812499999994</v>
      </c>
      <c r="K95" t="str">
        <f t="shared" si="12"/>
        <v>KO</v>
      </c>
      <c r="L95" s="1">
        <f t="shared" si="13"/>
        <v>139.60718750000001</v>
      </c>
      <c r="M95" s="1">
        <f t="shared" si="14"/>
        <v>60.392812499999991</v>
      </c>
      <c r="O95" s="160">
        <f t="shared" si="15"/>
        <v>80</v>
      </c>
      <c r="P95" s="51">
        <f t="shared" si="16"/>
        <v>0.78829227401853486</v>
      </c>
      <c r="Q95" s="87"/>
    </row>
    <row r="96" spans="1:17" x14ac:dyDescent="0.25">
      <c r="A96" s="316"/>
      <c r="B96" s="68">
        <v>86</v>
      </c>
      <c r="C96" s="68">
        <v>60110090</v>
      </c>
      <c r="D96" s="68">
        <v>250</v>
      </c>
      <c r="E96" s="91">
        <v>12.25</v>
      </c>
      <c r="F96" s="68">
        <v>133</v>
      </c>
      <c r="G96" s="68">
        <v>80</v>
      </c>
      <c r="H96" s="68">
        <f t="shared" si="9"/>
        <v>60.392812500000005</v>
      </c>
      <c r="I96" s="1">
        <f t="shared" si="10"/>
        <v>72.607187499999995</v>
      </c>
      <c r="J96" s="1">
        <f t="shared" si="11"/>
        <v>10.407187500000006</v>
      </c>
      <c r="K96" t="str">
        <f t="shared" si="12"/>
        <v>OK</v>
      </c>
      <c r="L96" s="1">
        <f t="shared" si="13"/>
        <v>189.60718750000001</v>
      </c>
      <c r="M96" s="1">
        <f t="shared" si="14"/>
        <v>60.392812499999991</v>
      </c>
      <c r="O96" s="160">
        <f t="shared" si="15"/>
        <v>80</v>
      </c>
      <c r="P96" s="51">
        <f t="shared" si="16"/>
        <v>1.2022488189302327</v>
      </c>
      <c r="Q96" s="87"/>
    </row>
    <row r="97" spans="1:17" x14ac:dyDescent="0.25">
      <c r="A97" s="316"/>
      <c r="B97" s="68">
        <v>87</v>
      </c>
      <c r="C97" s="68">
        <v>60110168</v>
      </c>
      <c r="D97" s="68">
        <v>100</v>
      </c>
      <c r="E97" s="91">
        <v>9.5</v>
      </c>
      <c r="F97" s="68">
        <v>59</v>
      </c>
      <c r="G97" s="68">
        <v>90</v>
      </c>
      <c r="H97" s="68">
        <f t="shared" si="9"/>
        <v>53.682500000000005</v>
      </c>
      <c r="I97" s="1">
        <f t="shared" si="10"/>
        <v>5.3174999999999955</v>
      </c>
      <c r="J97" s="1">
        <f t="shared" si="11"/>
        <v>-56.882499999999993</v>
      </c>
      <c r="K97" t="str">
        <f t="shared" si="12"/>
        <v>KO</v>
      </c>
      <c r="L97" s="1">
        <f t="shared" si="13"/>
        <v>46.317499999999995</v>
      </c>
      <c r="M97" s="1">
        <f t="shared" si="14"/>
        <v>53.682500000000005</v>
      </c>
      <c r="O97" s="160">
        <f t="shared" si="15"/>
        <v>90</v>
      </c>
      <c r="P97" s="51">
        <f t="shared" si="16"/>
        <v>9.9054626740557816E-2</v>
      </c>
      <c r="Q97" s="87"/>
    </row>
    <row r="98" spans="1:17" x14ac:dyDescent="0.25">
      <c r="A98" s="316"/>
      <c r="B98" s="68">
        <v>88</v>
      </c>
      <c r="C98" s="68">
        <v>60110059</v>
      </c>
      <c r="D98" s="68">
        <v>120</v>
      </c>
      <c r="E98" s="91">
        <v>10</v>
      </c>
      <c r="F98" s="68">
        <v>69</v>
      </c>
      <c r="G98" s="68">
        <v>90</v>
      </c>
      <c r="H98" s="68">
        <f t="shared" si="9"/>
        <v>53.682500000000005</v>
      </c>
      <c r="I98" s="1">
        <f t="shared" si="10"/>
        <v>15.317499999999995</v>
      </c>
      <c r="J98" s="1">
        <f t="shared" si="11"/>
        <v>-46.882499999999993</v>
      </c>
      <c r="K98" t="str">
        <f t="shared" si="12"/>
        <v>KO</v>
      </c>
      <c r="L98" s="1">
        <f t="shared" si="13"/>
        <v>66.317499999999995</v>
      </c>
      <c r="M98" s="1">
        <f t="shared" si="14"/>
        <v>53.682500000000005</v>
      </c>
      <c r="O98" s="160">
        <f t="shared" si="15"/>
        <v>90</v>
      </c>
      <c r="P98" s="51">
        <f t="shared" si="16"/>
        <v>0.28533507195082186</v>
      </c>
      <c r="Q98" s="87"/>
    </row>
    <row r="99" spans="1:17" x14ac:dyDescent="0.25">
      <c r="A99" s="316"/>
      <c r="B99" s="68">
        <v>89</v>
      </c>
      <c r="C99" s="68">
        <v>60110027</v>
      </c>
      <c r="D99" s="68">
        <v>140</v>
      </c>
      <c r="E99" s="91">
        <v>10.5</v>
      </c>
      <c r="F99" s="68">
        <v>80</v>
      </c>
      <c r="G99" s="68">
        <v>90</v>
      </c>
      <c r="H99" s="68">
        <f t="shared" si="9"/>
        <v>53.682500000000005</v>
      </c>
      <c r="I99" s="1">
        <f t="shared" si="10"/>
        <v>26.317499999999995</v>
      </c>
      <c r="J99" s="1">
        <f t="shared" si="11"/>
        <v>-35.882499999999993</v>
      </c>
      <c r="K99" t="str">
        <f t="shared" si="12"/>
        <v>KO</v>
      </c>
      <c r="L99" s="1">
        <f t="shared" si="13"/>
        <v>86.317499999999995</v>
      </c>
      <c r="M99" s="1">
        <f t="shared" si="14"/>
        <v>53.682500000000005</v>
      </c>
      <c r="O99" s="160">
        <f t="shared" si="15"/>
        <v>90</v>
      </c>
      <c r="P99" s="51">
        <f t="shared" si="16"/>
        <v>0.49024356168211236</v>
      </c>
      <c r="Q99" s="87"/>
    </row>
    <row r="100" spans="1:17" x14ac:dyDescent="0.25">
      <c r="A100" s="316"/>
      <c r="B100" s="68">
        <v>90</v>
      </c>
      <c r="C100" s="68">
        <v>60110048</v>
      </c>
      <c r="D100" s="68">
        <v>170</v>
      </c>
      <c r="E100" s="91">
        <v>11.25</v>
      </c>
      <c r="F100" s="68">
        <v>92</v>
      </c>
      <c r="G100" s="68">
        <v>90</v>
      </c>
      <c r="H100" s="68">
        <f t="shared" si="9"/>
        <v>53.682500000000005</v>
      </c>
      <c r="I100" s="1">
        <f t="shared" si="10"/>
        <v>38.317499999999995</v>
      </c>
      <c r="J100" s="1">
        <f t="shared" si="11"/>
        <v>-23.882499999999993</v>
      </c>
      <c r="K100" t="str">
        <f t="shared" si="12"/>
        <v>KO</v>
      </c>
      <c r="L100" s="1">
        <f t="shared" si="13"/>
        <v>116.3175</v>
      </c>
      <c r="M100" s="1">
        <f t="shared" si="14"/>
        <v>53.682500000000005</v>
      </c>
      <c r="O100" s="160">
        <f t="shared" si="15"/>
        <v>90</v>
      </c>
      <c r="P100" s="51">
        <f t="shared" si="16"/>
        <v>0.71378009593442926</v>
      </c>
      <c r="Q100" s="87"/>
    </row>
    <row r="101" spans="1:17" x14ac:dyDescent="0.25">
      <c r="A101" s="316"/>
      <c r="B101" s="68">
        <v>91</v>
      </c>
      <c r="C101" s="68">
        <v>60110076</v>
      </c>
      <c r="D101" s="68">
        <v>200</v>
      </c>
      <c r="E101" s="91">
        <v>11.75</v>
      </c>
      <c r="F101" s="68">
        <v>89</v>
      </c>
      <c r="G101" s="68">
        <v>90</v>
      </c>
      <c r="H101" s="68">
        <f t="shared" si="9"/>
        <v>53.682500000000005</v>
      </c>
      <c r="I101" s="1">
        <f t="shared" si="10"/>
        <v>35.317499999999995</v>
      </c>
      <c r="J101" s="1">
        <f t="shared" si="11"/>
        <v>-26.882499999999993</v>
      </c>
      <c r="K101" t="str">
        <f t="shared" si="12"/>
        <v>KO</v>
      </c>
      <c r="L101" s="1">
        <f t="shared" si="13"/>
        <v>146.3175</v>
      </c>
      <c r="M101" s="1">
        <f t="shared" si="14"/>
        <v>53.682500000000005</v>
      </c>
      <c r="O101" s="160">
        <f t="shared" si="15"/>
        <v>90</v>
      </c>
      <c r="P101" s="51">
        <f t="shared" si="16"/>
        <v>0.65789596237134995</v>
      </c>
      <c r="Q101" s="87"/>
    </row>
    <row r="102" spans="1:17" x14ac:dyDescent="0.25">
      <c r="A102" s="316"/>
      <c r="B102" s="68">
        <v>92</v>
      </c>
      <c r="C102" s="68">
        <v>60110091</v>
      </c>
      <c r="D102" s="68">
        <v>250</v>
      </c>
      <c r="E102" s="91">
        <v>12.5</v>
      </c>
      <c r="F102" s="68">
        <v>133</v>
      </c>
      <c r="G102" s="68">
        <v>90</v>
      </c>
      <c r="H102" s="68">
        <f t="shared" si="9"/>
        <v>53.682500000000005</v>
      </c>
      <c r="I102" s="1">
        <f t="shared" si="10"/>
        <v>79.317499999999995</v>
      </c>
      <c r="J102" s="1">
        <f t="shared" si="11"/>
        <v>17.117500000000007</v>
      </c>
      <c r="K102" t="str">
        <f t="shared" si="12"/>
        <v>OK</v>
      </c>
      <c r="L102" s="1">
        <f t="shared" si="13"/>
        <v>196.3175</v>
      </c>
      <c r="M102" s="1">
        <f t="shared" si="14"/>
        <v>53.682500000000005</v>
      </c>
      <c r="O102" s="160">
        <f t="shared" si="15"/>
        <v>90</v>
      </c>
      <c r="P102" s="51">
        <f t="shared" si="16"/>
        <v>1.4775299212965118</v>
      </c>
      <c r="Q102" s="87"/>
    </row>
    <row r="103" spans="1:17" x14ac:dyDescent="0.25">
      <c r="A103" s="316"/>
      <c r="B103" s="68">
        <v>93</v>
      </c>
      <c r="C103" s="68">
        <v>60110169</v>
      </c>
      <c r="D103" s="68">
        <v>100</v>
      </c>
      <c r="E103" s="91">
        <v>10</v>
      </c>
      <c r="F103" s="68">
        <v>55</v>
      </c>
      <c r="G103" s="68">
        <v>100</v>
      </c>
      <c r="H103" s="68">
        <f t="shared" si="9"/>
        <v>48.314250000000001</v>
      </c>
      <c r="I103" s="1">
        <f t="shared" si="10"/>
        <v>6.6857499999999987</v>
      </c>
      <c r="J103" s="1">
        <f t="shared" si="11"/>
        <v>-55.51424999999999</v>
      </c>
      <c r="K103" t="str">
        <f t="shared" si="12"/>
        <v>KO</v>
      </c>
      <c r="L103" s="1">
        <f t="shared" si="13"/>
        <v>51.685749999999999</v>
      </c>
      <c r="M103" s="1">
        <f t="shared" si="14"/>
        <v>48.314250000000001</v>
      </c>
      <c r="O103" s="160">
        <f t="shared" si="15"/>
        <v>100</v>
      </c>
      <c r="P103" s="51">
        <f t="shared" si="16"/>
        <v>0.13838049850716916</v>
      </c>
      <c r="Q103" s="87"/>
    </row>
    <row r="104" spans="1:17" x14ac:dyDescent="0.25">
      <c r="A104" s="316"/>
      <c r="B104" s="68">
        <v>94</v>
      </c>
      <c r="C104" s="68">
        <v>60110000</v>
      </c>
      <c r="D104" s="68">
        <v>120</v>
      </c>
      <c r="E104" s="91">
        <v>10.25</v>
      </c>
      <c r="F104" s="68">
        <v>69</v>
      </c>
      <c r="G104" s="68">
        <v>100</v>
      </c>
      <c r="H104" s="68">
        <f t="shared" si="9"/>
        <v>48.314250000000001</v>
      </c>
      <c r="I104" s="1">
        <f t="shared" si="10"/>
        <v>20.685749999999999</v>
      </c>
      <c r="J104" s="1">
        <f t="shared" si="11"/>
        <v>-41.51424999999999</v>
      </c>
      <c r="K104" t="str">
        <f t="shared" si="12"/>
        <v>KO</v>
      </c>
      <c r="L104" s="1">
        <f t="shared" si="13"/>
        <v>71.685749999999999</v>
      </c>
      <c r="M104" s="1">
        <f t="shared" si="14"/>
        <v>48.314250000000001</v>
      </c>
      <c r="O104" s="160">
        <f t="shared" si="15"/>
        <v>100</v>
      </c>
      <c r="P104" s="51">
        <f t="shared" si="16"/>
        <v>0.4281500799453577</v>
      </c>
      <c r="Q104" s="87"/>
    </row>
    <row r="105" spans="1:17" x14ac:dyDescent="0.25">
      <c r="A105" s="316"/>
      <c r="B105" s="68">
        <v>95</v>
      </c>
      <c r="C105" s="68">
        <v>60110001</v>
      </c>
      <c r="D105" s="68">
        <v>140</v>
      </c>
      <c r="E105" s="91">
        <v>11</v>
      </c>
      <c r="F105" s="68">
        <v>74</v>
      </c>
      <c r="G105" s="68">
        <v>100</v>
      </c>
      <c r="H105" s="68">
        <f t="shared" si="9"/>
        <v>48.314250000000001</v>
      </c>
      <c r="I105" s="1">
        <f t="shared" si="10"/>
        <v>25.685749999999999</v>
      </c>
      <c r="J105" s="1">
        <f t="shared" si="11"/>
        <v>-36.51424999999999</v>
      </c>
      <c r="K105" t="str">
        <f t="shared" si="12"/>
        <v>KO</v>
      </c>
      <c r="L105" s="1">
        <f t="shared" si="13"/>
        <v>91.685749999999999</v>
      </c>
      <c r="M105" s="1">
        <f t="shared" si="14"/>
        <v>48.314250000000001</v>
      </c>
      <c r="O105" s="160">
        <f t="shared" si="15"/>
        <v>100</v>
      </c>
      <c r="P105" s="51">
        <f t="shared" si="16"/>
        <v>0.53163921617328214</v>
      </c>
      <c r="Q105" s="87"/>
    </row>
    <row r="106" spans="1:17" x14ac:dyDescent="0.25">
      <c r="A106" s="316"/>
      <c r="B106" s="68">
        <v>96</v>
      </c>
      <c r="C106" s="68">
        <v>60110002</v>
      </c>
      <c r="D106" s="68">
        <v>160</v>
      </c>
      <c r="E106" s="91">
        <v>11.25</v>
      </c>
      <c r="F106" s="68">
        <v>88</v>
      </c>
      <c r="G106" s="68">
        <v>100</v>
      </c>
      <c r="H106" s="68">
        <f t="shared" si="9"/>
        <v>48.314250000000001</v>
      </c>
      <c r="I106" s="1">
        <f t="shared" si="10"/>
        <v>39.685749999999999</v>
      </c>
      <c r="J106" s="1">
        <f t="shared" si="11"/>
        <v>-22.51424999999999</v>
      </c>
      <c r="K106" t="str">
        <f t="shared" si="12"/>
        <v>KO</v>
      </c>
      <c r="L106" s="1">
        <f t="shared" si="13"/>
        <v>111.68575</v>
      </c>
      <c r="M106" s="1">
        <f t="shared" si="14"/>
        <v>48.314250000000001</v>
      </c>
      <c r="O106" s="160">
        <f t="shared" si="15"/>
        <v>100</v>
      </c>
      <c r="P106" s="51">
        <f t="shared" si="16"/>
        <v>0.82140879761147068</v>
      </c>
      <c r="Q106" s="87"/>
    </row>
    <row r="107" spans="1:17" x14ac:dyDescent="0.25">
      <c r="A107" s="316"/>
      <c r="B107" s="68">
        <v>97</v>
      </c>
      <c r="C107" s="68">
        <v>60110049</v>
      </c>
      <c r="D107" s="68">
        <v>170</v>
      </c>
      <c r="E107" s="91">
        <v>11.75</v>
      </c>
      <c r="F107" s="68">
        <v>86</v>
      </c>
      <c r="G107" s="68">
        <v>100</v>
      </c>
      <c r="H107" s="68">
        <f t="shared" ref="H107:H138" si="17">$B$2/2*9.81*$B$3/G107</f>
        <v>48.314250000000001</v>
      </c>
      <c r="I107" s="1">
        <f t="shared" si="10"/>
        <v>37.685749999999999</v>
      </c>
      <c r="J107" s="1">
        <f t="shared" si="11"/>
        <v>-24.51424999999999</v>
      </c>
      <c r="K107" t="str">
        <f t="shared" si="12"/>
        <v>KO</v>
      </c>
      <c r="L107" s="1">
        <f t="shared" si="13"/>
        <v>121.68575</v>
      </c>
      <c r="M107" s="1">
        <f t="shared" si="14"/>
        <v>48.314250000000001</v>
      </c>
      <c r="O107" s="160">
        <f t="shared" si="15"/>
        <v>100</v>
      </c>
      <c r="P107" s="51">
        <f t="shared" si="16"/>
        <v>0.7800131431203009</v>
      </c>
      <c r="Q107" s="87"/>
    </row>
    <row r="108" spans="1:17" x14ac:dyDescent="0.25">
      <c r="A108" s="316"/>
      <c r="B108" s="68">
        <v>98</v>
      </c>
      <c r="C108" s="68">
        <v>60110003</v>
      </c>
      <c r="D108" s="68">
        <v>180</v>
      </c>
      <c r="E108" s="91">
        <v>11.75</v>
      </c>
      <c r="F108" s="68">
        <v>95</v>
      </c>
      <c r="G108" s="68">
        <v>100</v>
      </c>
      <c r="H108" s="68">
        <f t="shared" si="17"/>
        <v>48.314250000000001</v>
      </c>
      <c r="I108" s="1">
        <f t="shared" si="10"/>
        <v>46.685749999999999</v>
      </c>
      <c r="J108" s="1">
        <f t="shared" si="11"/>
        <v>-15.51424999999999</v>
      </c>
      <c r="K108" t="str">
        <f t="shared" si="12"/>
        <v>KO</v>
      </c>
      <c r="L108" s="1">
        <f t="shared" si="13"/>
        <v>131.68574999999998</v>
      </c>
      <c r="M108" s="1">
        <f t="shared" si="14"/>
        <v>48.314250000000015</v>
      </c>
      <c r="O108" s="160">
        <f t="shared" si="15"/>
        <v>100</v>
      </c>
      <c r="P108" s="51">
        <f t="shared" si="16"/>
        <v>0.96629358833056489</v>
      </c>
      <c r="Q108" s="87"/>
    </row>
    <row r="109" spans="1:17" x14ac:dyDescent="0.25">
      <c r="A109" s="316"/>
      <c r="B109" s="68">
        <v>99</v>
      </c>
      <c r="C109" s="68">
        <v>60110078</v>
      </c>
      <c r="D109" s="68">
        <v>200</v>
      </c>
      <c r="E109" s="91">
        <v>12.25</v>
      </c>
      <c r="F109" s="68">
        <v>100</v>
      </c>
      <c r="G109" s="68">
        <v>100</v>
      </c>
      <c r="H109" s="68">
        <f t="shared" si="17"/>
        <v>48.314250000000001</v>
      </c>
      <c r="I109" s="1">
        <f t="shared" si="10"/>
        <v>51.685749999999999</v>
      </c>
      <c r="J109" s="1">
        <f t="shared" si="11"/>
        <v>-10.51424999999999</v>
      </c>
      <c r="K109" t="str">
        <f t="shared" si="12"/>
        <v>KO</v>
      </c>
      <c r="L109" s="1">
        <f t="shared" si="13"/>
        <v>151.68574999999998</v>
      </c>
      <c r="M109" s="1">
        <f t="shared" si="14"/>
        <v>48.314250000000015</v>
      </c>
      <c r="O109" s="160">
        <f t="shared" si="15"/>
        <v>100</v>
      </c>
      <c r="P109" s="51">
        <f t="shared" si="16"/>
        <v>1.0697827245584894</v>
      </c>
      <c r="Q109" s="87"/>
    </row>
    <row r="110" spans="1:17" x14ac:dyDescent="0.25">
      <c r="A110" s="316"/>
      <c r="B110" s="68">
        <v>100</v>
      </c>
      <c r="C110" s="68">
        <v>60110150</v>
      </c>
      <c r="D110" s="68">
        <v>220</v>
      </c>
      <c r="E110" s="91">
        <v>13</v>
      </c>
      <c r="F110" s="68">
        <v>113</v>
      </c>
      <c r="G110" s="68">
        <v>100</v>
      </c>
      <c r="H110" s="68">
        <f t="shared" si="17"/>
        <v>48.314250000000001</v>
      </c>
      <c r="I110" s="1">
        <f t="shared" si="10"/>
        <v>64.685749999999999</v>
      </c>
      <c r="J110" s="1">
        <f t="shared" si="11"/>
        <v>2.4857500000000101</v>
      </c>
      <c r="K110" t="str">
        <f t="shared" si="12"/>
        <v>OK</v>
      </c>
      <c r="L110" s="1">
        <f t="shared" si="13"/>
        <v>171.68574999999998</v>
      </c>
      <c r="M110" s="1">
        <f t="shared" si="14"/>
        <v>48.314250000000015</v>
      </c>
      <c r="O110" s="160">
        <f t="shared" si="15"/>
        <v>100</v>
      </c>
      <c r="P110" s="51">
        <f t="shared" si="16"/>
        <v>1.338854478751093</v>
      </c>
      <c r="Q110" s="87"/>
    </row>
    <row r="111" spans="1:17" x14ac:dyDescent="0.25">
      <c r="A111" s="316"/>
      <c r="B111" s="68">
        <v>101</v>
      </c>
      <c r="C111" s="68">
        <v>60110170</v>
      </c>
      <c r="D111" s="68">
        <v>100</v>
      </c>
      <c r="E111" s="91">
        <v>10.25</v>
      </c>
      <c r="F111" s="68">
        <v>54</v>
      </c>
      <c r="G111" s="68">
        <v>110</v>
      </c>
      <c r="H111" s="68">
        <f t="shared" si="17"/>
        <v>43.922045454545454</v>
      </c>
      <c r="I111" s="1">
        <f t="shared" si="10"/>
        <v>10.077954545454546</v>
      </c>
      <c r="J111" s="1">
        <f t="shared" si="11"/>
        <v>-52.122045454545443</v>
      </c>
      <c r="K111" t="str">
        <f t="shared" si="12"/>
        <v>KO</v>
      </c>
      <c r="L111" s="1">
        <f t="shared" si="13"/>
        <v>56.077954545454546</v>
      </c>
      <c r="M111" s="1">
        <f t="shared" si="14"/>
        <v>43.922045454545454</v>
      </c>
      <c r="O111" s="160">
        <f t="shared" si="15"/>
        <v>110</v>
      </c>
      <c r="P111" s="51">
        <f t="shared" si="16"/>
        <v>0.22945093838774275</v>
      </c>
      <c r="Q111" s="87"/>
    </row>
    <row r="112" spans="1:17" x14ac:dyDescent="0.25">
      <c r="A112" s="316"/>
      <c r="B112" s="68">
        <v>102</v>
      </c>
      <c r="C112" s="68">
        <v>60110060</v>
      </c>
      <c r="D112" s="68">
        <v>120</v>
      </c>
      <c r="E112" s="91">
        <v>10.75</v>
      </c>
      <c r="F112" s="68">
        <v>63</v>
      </c>
      <c r="G112" s="68">
        <v>110</v>
      </c>
      <c r="H112" s="68">
        <f t="shared" si="17"/>
        <v>43.922045454545454</v>
      </c>
      <c r="I112" s="1">
        <f t="shared" si="10"/>
        <v>19.077954545454546</v>
      </c>
      <c r="J112" s="1">
        <f t="shared" si="11"/>
        <v>-43.122045454545443</v>
      </c>
      <c r="K112" t="str">
        <f t="shared" si="12"/>
        <v>KO</v>
      </c>
      <c r="L112" s="1">
        <f t="shared" si="13"/>
        <v>76.077954545454546</v>
      </c>
      <c r="M112" s="1">
        <f t="shared" si="14"/>
        <v>43.922045454545454</v>
      </c>
      <c r="O112" s="160">
        <f t="shared" si="15"/>
        <v>110</v>
      </c>
      <c r="P112" s="51">
        <f t="shared" si="16"/>
        <v>0.43435942811903316</v>
      </c>
      <c r="Q112" s="87"/>
    </row>
    <row r="113" spans="1:17" x14ac:dyDescent="0.25">
      <c r="A113" s="316"/>
      <c r="B113" s="68">
        <v>103</v>
      </c>
      <c r="C113" s="68">
        <v>60110039</v>
      </c>
      <c r="D113" s="68">
        <v>140</v>
      </c>
      <c r="E113" s="91">
        <v>11.25</v>
      </c>
      <c r="F113" s="68">
        <v>73</v>
      </c>
      <c r="G113" s="68">
        <v>110</v>
      </c>
      <c r="H113" s="68">
        <f t="shared" si="17"/>
        <v>43.922045454545454</v>
      </c>
      <c r="I113" s="1">
        <f t="shared" si="10"/>
        <v>29.077954545454546</v>
      </c>
      <c r="J113" s="1">
        <f t="shared" si="11"/>
        <v>-33.122045454545443</v>
      </c>
      <c r="K113" t="str">
        <f t="shared" si="12"/>
        <v>KO</v>
      </c>
      <c r="L113" s="1">
        <f t="shared" si="13"/>
        <v>96.077954545454546</v>
      </c>
      <c r="M113" s="1">
        <f t="shared" si="14"/>
        <v>43.922045454545454</v>
      </c>
      <c r="O113" s="160">
        <f t="shared" si="15"/>
        <v>110</v>
      </c>
      <c r="P113" s="51">
        <f t="shared" si="16"/>
        <v>0.66203552782046693</v>
      </c>
      <c r="Q113" s="87"/>
    </row>
    <row r="114" spans="1:17" x14ac:dyDescent="0.25">
      <c r="A114" s="316"/>
      <c r="B114" s="68">
        <v>104</v>
      </c>
      <c r="C114" s="68">
        <v>60110050</v>
      </c>
      <c r="D114" s="68">
        <v>170</v>
      </c>
      <c r="E114" s="91">
        <v>12</v>
      </c>
      <c r="F114" s="68">
        <v>86</v>
      </c>
      <c r="G114" s="68">
        <v>110</v>
      </c>
      <c r="H114" s="68">
        <f t="shared" si="17"/>
        <v>43.922045454545454</v>
      </c>
      <c r="I114" s="1">
        <f t="shared" si="10"/>
        <v>42.077954545454546</v>
      </c>
      <c r="J114" s="1">
        <f t="shared" si="11"/>
        <v>-20.122045454545443</v>
      </c>
      <c r="K114" t="str">
        <f t="shared" si="12"/>
        <v>KO</v>
      </c>
      <c r="L114" s="1">
        <f t="shared" si="13"/>
        <v>126.07795454545455</v>
      </c>
      <c r="M114" s="1">
        <f t="shared" si="14"/>
        <v>43.922045454545454</v>
      </c>
      <c r="O114" s="160">
        <f t="shared" si="15"/>
        <v>110</v>
      </c>
      <c r="P114" s="51">
        <f t="shared" si="16"/>
        <v>0.95801445743233093</v>
      </c>
      <c r="Q114" s="87"/>
    </row>
    <row r="115" spans="1:17" x14ac:dyDescent="0.25">
      <c r="A115" s="316"/>
      <c r="B115" s="68">
        <v>105</v>
      </c>
      <c r="C115" s="68">
        <v>60110171</v>
      </c>
      <c r="D115" s="68">
        <v>100</v>
      </c>
      <c r="E115" s="91">
        <v>10.5</v>
      </c>
      <c r="F115" s="68">
        <v>53</v>
      </c>
      <c r="G115" s="68">
        <v>120</v>
      </c>
      <c r="H115" s="68">
        <f t="shared" si="17"/>
        <v>40.261875000000003</v>
      </c>
      <c r="I115" s="1">
        <f t="shared" si="10"/>
        <v>12.738124999999997</v>
      </c>
      <c r="J115" s="1">
        <f t="shared" si="11"/>
        <v>-49.461874999999992</v>
      </c>
      <c r="K115" t="str">
        <f t="shared" si="12"/>
        <v>KO</v>
      </c>
      <c r="L115" s="1">
        <f t="shared" si="13"/>
        <v>59.738124999999997</v>
      </c>
      <c r="M115" s="1">
        <f t="shared" si="14"/>
        <v>40.261875000000003</v>
      </c>
      <c r="O115" s="160">
        <f t="shared" si="15"/>
        <v>120</v>
      </c>
      <c r="P115" s="51">
        <f t="shared" si="16"/>
        <v>0.31638181281919919</v>
      </c>
      <c r="Q115" s="87"/>
    </row>
    <row r="116" spans="1:17" x14ac:dyDescent="0.25">
      <c r="A116" s="316"/>
      <c r="B116" s="68">
        <v>106</v>
      </c>
      <c r="C116" s="68">
        <v>60110034</v>
      </c>
      <c r="D116" s="68">
        <v>120</v>
      </c>
      <c r="E116" s="91">
        <v>11</v>
      </c>
      <c r="F116" s="68">
        <v>62</v>
      </c>
      <c r="G116" s="68">
        <v>120</v>
      </c>
      <c r="H116" s="68">
        <f t="shared" si="17"/>
        <v>40.261875000000003</v>
      </c>
      <c r="I116" s="1">
        <f t="shared" si="10"/>
        <v>21.738124999999997</v>
      </c>
      <c r="J116" s="1">
        <f t="shared" si="11"/>
        <v>-40.461874999999992</v>
      </c>
      <c r="K116" t="str">
        <f t="shared" si="12"/>
        <v>KO</v>
      </c>
      <c r="L116" s="1">
        <f t="shared" si="13"/>
        <v>79.738124999999997</v>
      </c>
      <c r="M116" s="1">
        <f t="shared" si="14"/>
        <v>40.261875000000003</v>
      </c>
      <c r="O116" s="160">
        <f t="shared" si="15"/>
        <v>120</v>
      </c>
      <c r="P116" s="51">
        <f t="shared" si="16"/>
        <v>0.53991834707151609</v>
      </c>
      <c r="Q116" s="87"/>
    </row>
    <row r="117" spans="1:17" x14ac:dyDescent="0.25">
      <c r="A117" s="316"/>
      <c r="B117" s="68">
        <v>107</v>
      </c>
      <c r="C117" s="68">
        <v>60110040</v>
      </c>
      <c r="D117" s="68">
        <v>140</v>
      </c>
      <c r="E117" s="91">
        <v>11.5</v>
      </c>
      <c r="F117" s="68">
        <v>73</v>
      </c>
      <c r="G117" s="68">
        <v>120</v>
      </c>
      <c r="H117" s="68">
        <f t="shared" si="17"/>
        <v>40.261875000000003</v>
      </c>
      <c r="I117" s="1">
        <f t="shared" si="10"/>
        <v>32.738124999999997</v>
      </c>
      <c r="J117" s="1">
        <f t="shared" si="11"/>
        <v>-29.461874999999992</v>
      </c>
      <c r="K117" t="str">
        <f t="shared" si="12"/>
        <v>KO</v>
      </c>
      <c r="L117" s="1">
        <f t="shared" si="13"/>
        <v>99.738124999999997</v>
      </c>
      <c r="M117" s="1">
        <f t="shared" si="14"/>
        <v>40.261875000000003</v>
      </c>
      <c r="O117" s="160">
        <f t="shared" si="15"/>
        <v>120</v>
      </c>
      <c r="P117" s="51">
        <f t="shared" si="16"/>
        <v>0.81312966671323672</v>
      </c>
      <c r="Q117" s="87"/>
    </row>
    <row r="118" spans="1:17" x14ac:dyDescent="0.25">
      <c r="A118" s="316"/>
      <c r="B118" s="68">
        <v>108</v>
      </c>
      <c r="C118" s="68">
        <v>60110083</v>
      </c>
      <c r="D118" s="68">
        <v>170</v>
      </c>
      <c r="E118" s="91">
        <v>12.25</v>
      </c>
      <c r="F118" s="68">
        <v>85</v>
      </c>
      <c r="G118" s="68">
        <v>120</v>
      </c>
      <c r="H118" s="68">
        <f t="shared" si="17"/>
        <v>40.261875000000003</v>
      </c>
      <c r="I118" s="1">
        <f t="shared" si="10"/>
        <v>44.738124999999997</v>
      </c>
      <c r="J118" s="1">
        <f t="shared" si="11"/>
        <v>-17.461874999999992</v>
      </c>
      <c r="K118" t="str">
        <f t="shared" si="12"/>
        <v>KO</v>
      </c>
      <c r="L118" s="1">
        <f t="shared" si="13"/>
        <v>129.738125</v>
      </c>
      <c r="M118" s="1">
        <f t="shared" si="14"/>
        <v>40.261875000000003</v>
      </c>
      <c r="O118" s="160">
        <f t="shared" si="15"/>
        <v>120</v>
      </c>
      <c r="P118" s="51">
        <f t="shared" si="16"/>
        <v>1.1111783790496592</v>
      </c>
      <c r="Q118" s="87"/>
    </row>
    <row r="119" spans="1:17" x14ac:dyDescent="0.25">
      <c r="A119" s="316"/>
      <c r="B119" s="68">
        <v>109</v>
      </c>
      <c r="C119" s="68">
        <v>60110149</v>
      </c>
      <c r="D119" s="68">
        <v>200</v>
      </c>
      <c r="E119" s="91">
        <v>13.25</v>
      </c>
      <c r="F119" s="68">
        <v>93</v>
      </c>
      <c r="G119" s="68">
        <v>120</v>
      </c>
      <c r="H119" s="68">
        <f t="shared" si="17"/>
        <v>40.261875000000003</v>
      </c>
      <c r="I119" s="1">
        <f t="shared" si="10"/>
        <v>52.738124999999997</v>
      </c>
      <c r="J119" s="1">
        <f t="shared" si="11"/>
        <v>-9.461874999999992</v>
      </c>
      <c r="K119" t="str">
        <f t="shared" si="12"/>
        <v>KO</v>
      </c>
      <c r="L119" s="1">
        <f t="shared" si="13"/>
        <v>159.738125</v>
      </c>
      <c r="M119" s="1">
        <f t="shared" si="14"/>
        <v>40.261875000000003</v>
      </c>
      <c r="O119" s="160">
        <f t="shared" si="15"/>
        <v>120</v>
      </c>
      <c r="P119" s="51">
        <f t="shared" si="16"/>
        <v>1.3098775206072741</v>
      </c>
      <c r="Q119" s="87"/>
    </row>
    <row r="120" spans="1:17" x14ac:dyDescent="0.25">
      <c r="A120" s="316"/>
      <c r="B120" s="68">
        <v>110</v>
      </c>
      <c r="C120" s="68">
        <v>60110151</v>
      </c>
      <c r="D120" s="68">
        <v>220</v>
      </c>
      <c r="E120" s="91">
        <v>13.5</v>
      </c>
      <c r="F120" s="68">
        <v>105</v>
      </c>
      <c r="G120" s="68">
        <v>120</v>
      </c>
      <c r="H120" s="68">
        <f t="shared" si="17"/>
        <v>40.261875000000003</v>
      </c>
      <c r="I120" s="1">
        <f t="shared" si="10"/>
        <v>64.738124999999997</v>
      </c>
      <c r="J120" s="1">
        <f t="shared" si="11"/>
        <v>2.538125000000008</v>
      </c>
      <c r="K120" t="str">
        <f t="shared" si="12"/>
        <v>OK</v>
      </c>
      <c r="L120" s="1">
        <f t="shared" si="13"/>
        <v>179.738125</v>
      </c>
      <c r="M120" s="1">
        <f t="shared" si="14"/>
        <v>40.261875000000003</v>
      </c>
      <c r="O120" s="160">
        <f t="shared" si="15"/>
        <v>120</v>
      </c>
      <c r="P120" s="51">
        <f t="shared" si="16"/>
        <v>1.6079262329436967</v>
      </c>
      <c r="Q120" s="87"/>
    </row>
    <row r="121" spans="1:17" ht="15.75" thickBot="1" x14ac:dyDescent="0.3">
      <c r="A121" s="316"/>
      <c r="B121" s="68">
        <v>111</v>
      </c>
      <c r="C121" s="68">
        <v>60110041</v>
      </c>
      <c r="D121" s="68">
        <v>140</v>
      </c>
      <c r="E121" s="91">
        <v>11.75</v>
      </c>
      <c r="F121" s="68">
        <v>71</v>
      </c>
      <c r="G121" s="68">
        <v>130</v>
      </c>
      <c r="H121" s="68">
        <f t="shared" si="17"/>
        <v>37.164807692307697</v>
      </c>
      <c r="I121" s="1">
        <f t="shared" si="10"/>
        <v>33.835192307692303</v>
      </c>
      <c r="J121" s="1">
        <f t="shared" si="11"/>
        <v>-28.364807692307686</v>
      </c>
      <c r="K121" t="str">
        <f t="shared" si="12"/>
        <v>KO</v>
      </c>
      <c r="L121" s="1">
        <f t="shared" si="13"/>
        <v>102.8351923076923</v>
      </c>
      <c r="M121" s="1">
        <f t="shared" si="14"/>
        <v>37.164807692307704</v>
      </c>
      <c r="O121" s="160">
        <f t="shared" si="15"/>
        <v>130</v>
      </c>
      <c r="P121" s="51">
        <f t="shared" si="16"/>
        <v>0.91040945476748569</v>
      </c>
      <c r="Q121" s="87"/>
    </row>
    <row r="122" spans="1:17" ht="15.75" thickBot="1" x14ac:dyDescent="0.3">
      <c r="A122" s="316"/>
      <c r="B122" s="90">
        <v>112</v>
      </c>
      <c r="C122" s="69">
        <v>60110115</v>
      </c>
      <c r="D122" s="69">
        <v>170</v>
      </c>
      <c r="E122" s="92">
        <v>12.5</v>
      </c>
      <c r="F122" s="69">
        <v>88</v>
      </c>
      <c r="G122" s="69">
        <v>130</v>
      </c>
      <c r="H122" s="69">
        <f t="shared" si="17"/>
        <v>37.164807692307697</v>
      </c>
      <c r="I122" s="15">
        <f t="shared" si="10"/>
        <v>50.835192307692303</v>
      </c>
      <c r="J122" s="15">
        <f t="shared" si="11"/>
        <v>-11.364807692307686</v>
      </c>
      <c r="K122" s="14" t="str">
        <f t="shared" si="12"/>
        <v>KO</v>
      </c>
      <c r="L122" s="15">
        <f t="shared" si="13"/>
        <v>132.8351923076923</v>
      </c>
      <c r="M122" s="216">
        <f t="shared" si="14"/>
        <v>37.164807692307704</v>
      </c>
      <c r="O122" s="160">
        <f t="shared" si="15"/>
        <v>130</v>
      </c>
      <c r="P122" s="51">
        <f t="shared" si="16"/>
        <v>1.3678314368949118</v>
      </c>
      <c r="Q122" s="87"/>
    </row>
    <row r="123" spans="1:17" x14ac:dyDescent="0.25">
      <c r="A123" s="316"/>
      <c r="B123" s="68">
        <v>113</v>
      </c>
      <c r="C123" s="68">
        <v>60110029</v>
      </c>
      <c r="D123" s="68">
        <v>100</v>
      </c>
      <c r="E123" s="91">
        <v>10.75</v>
      </c>
      <c r="F123" s="68">
        <v>52</v>
      </c>
      <c r="G123" s="68">
        <v>140</v>
      </c>
      <c r="H123" s="68">
        <f t="shared" si="17"/>
        <v>34.510178571428575</v>
      </c>
      <c r="I123" s="1">
        <f t="shared" si="10"/>
        <v>17.489821428571425</v>
      </c>
      <c r="J123" s="1">
        <f t="shared" si="11"/>
        <v>-44.710178571428564</v>
      </c>
      <c r="K123" t="str">
        <f t="shared" si="12"/>
        <v>KO</v>
      </c>
      <c r="L123" s="1">
        <f t="shared" si="13"/>
        <v>65.489821428571418</v>
      </c>
      <c r="M123" s="1">
        <f t="shared" si="14"/>
        <v>34.510178571428582</v>
      </c>
      <c r="O123" s="160">
        <f t="shared" si="15"/>
        <v>140</v>
      </c>
      <c r="P123" s="51">
        <f t="shared" si="16"/>
        <v>0.50680182347858016</v>
      </c>
      <c r="Q123" s="87"/>
    </row>
    <row r="124" spans="1:17" x14ac:dyDescent="0.25">
      <c r="A124" s="316"/>
      <c r="B124" s="68">
        <v>114</v>
      </c>
      <c r="C124" s="68">
        <v>60110035</v>
      </c>
      <c r="D124" s="68">
        <v>120</v>
      </c>
      <c r="E124" s="91">
        <v>11.5</v>
      </c>
      <c r="F124" s="68">
        <v>60</v>
      </c>
      <c r="G124" s="68">
        <v>140</v>
      </c>
      <c r="H124" s="68">
        <f t="shared" si="17"/>
        <v>34.510178571428575</v>
      </c>
      <c r="I124" s="1">
        <f t="shared" si="10"/>
        <v>25.489821428571425</v>
      </c>
      <c r="J124" s="1">
        <f t="shared" si="11"/>
        <v>-36.710178571428564</v>
      </c>
      <c r="K124" t="str">
        <f t="shared" si="12"/>
        <v>KO</v>
      </c>
      <c r="L124" s="1">
        <f t="shared" si="13"/>
        <v>85.489821428571418</v>
      </c>
      <c r="M124" s="1">
        <f t="shared" si="14"/>
        <v>34.510178571428582</v>
      </c>
      <c r="O124" s="160">
        <f t="shared" si="15"/>
        <v>140</v>
      </c>
      <c r="P124" s="51">
        <f t="shared" si="16"/>
        <v>0.73861748862913101</v>
      </c>
      <c r="Q124" s="87"/>
    </row>
    <row r="125" spans="1:17" ht="15.75" thickBot="1" x14ac:dyDescent="0.3">
      <c r="A125" s="316"/>
      <c r="B125" s="68">
        <v>115</v>
      </c>
      <c r="C125" s="68">
        <v>60110042</v>
      </c>
      <c r="D125" s="68">
        <v>140</v>
      </c>
      <c r="E125" s="91">
        <v>12</v>
      </c>
      <c r="F125" s="68">
        <v>70</v>
      </c>
      <c r="G125" s="68">
        <v>140</v>
      </c>
      <c r="H125" s="68">
        <f t="shared" si="17"/>
        <v>34.510178571428575</v>
      </c>
      <c r="I125" s="1">
        <f t="shared" si="10"/>
        <v>35.489821428571425</v>
      </c>
      <c r="J125" s="1">
        <f t="shared" si="11"/>
        <v>-26.710178571428564</v>
      </c>
      <c r="K125" t="str">
        <f t="shared" si="12"/>
        <v>KO</v>
      </c>
      <c r="L125" s="1">
        <f t="shared" si="13"/>
        <v>105.48982142857142</v>
      </c>
      <c r="M125" s="1">
        <f t="shared" si="14"/>
        <v>34.510178571428582</v>
      </c>
      <c r="O125" s="160">
        <f t="shared" si="15"/>
        <v>140</v>
      </c>
      <c r="P125" s="51">
        <f t="shared" si="16"/>
        <v>1.0283870700673197</v>
      </c>
      <c r="Q125" s="87"/>
    </row>
    <row r="126" spans="1:17" ht="15.75" thickBot="1" x14ac:dyDescent="0.3">
      <c r="A126" s="316"/>
      <c r="B126" s="90">
        <v>116</v>
      </c>
      <c r="C126" s="69">
        <v>60110145</v>
      </c>
      <c r="D126" s="69">
        <v>200</v>
      </c>
      <c r="E126" s="92">
        <v>13.75</v>
      </c>
      <c r="F126" s="69">
        <v>92</v>
      </c>
      <c r="G126" s="69">
        <v>140</v>
      </c>
      <c r="H126" s="69">
        <f t="shared" si="17"/>
        <v>34.510178571428575</v>
      </c>
      <c r="I126" s="15">
        <f t="shared" si="10"/>
        <v>57.489821428571425</v>
      </c>
      <c r="J126" s="15">
        <f t="shared" si="11"/>
        <v>-4.710178571428564</v>
      </c>
      <c r="K126" s="14" t="str">
        <f t="shared" si="12"/>
        <v>KO</v>
      </c>
      <c r="L126" s="15">
        <f t="shared" si="13"/>
        <v>165.48982142857142</v>
      </c>
      <c r="M126" s="216">
        <f t="shared" si="14"/>
        <v>34.510178571428582</v>
      </c>
      <c r="O126" s="160">
        <f t="shared" si="15"/>
        <v>140</v>
      </c>
      <c r="P126" s="51">
        <f t="shared" si="16"/>
        <v>1.6658801492313344</v>
      </c>
      <c r="Q126" s="87"/>
    </row>
    <row r="127" spans="1:17" ht="15.75" thickBot="1" x14ac:dyDescent="0.3">
      <c r="A127" s="316"/>
      <c r="B127" s="68">
        <v>117</v>
      </c>
      <c r="C127" s="68">
        <v>60110043</v>
      </c>
      <c r="D127" s="68">
        <v>140</v>
      </c>
      <c r="E127" s="91">
        <v>12.25</v>
      </c>
      <c r="F127" s="68">
        <v>68</v>
      </c>
      <c r="G127" s="68">
        <v>150</v>
      </c>
      <c r="H127" s="68">
        <f t="shared" si="17"/>
        <v>32.209499999999998</v>
      </c>
      <c r="I127" s="1">
        <f t="shared" si="10"/>
        <v>35.790500000000002</v>
      </c>
      <c r="J127" s="1">
        <f t="shared" si="11"/>
        <v>-26.409499999999987</v>
      </c>
      <c r="K127" t="str">
        <f t="shared" si="12"/>
        <v>KO</v>
      </c>
      <c r="L127" s="1">
        <f t="shared" si="13"/>
        <v>107.79050000000001</v>
      </c>
      <c r="M127" s="1">
        <f t="shared" si="14"/>
        <v>32.209499999999991</v>
      </c>
      <c r="O127" s="160">
        <f t="shared" si="15"/>
        <v>150</v>
      </c>
      <c r="P127" s="51">
        <f t="shared" si="16"/>
        <v>1.1111783790496592</v>
      </c>
      <c r="Q127" s="87"/>
    </row>
    <row r="128" spans="1:17" ht="15.75" thickBot="1" x14ac:dyDescent="0.3">
      <c r="A128" s="316"/>
      <c r="B128" s="90">
        <v>118</v>
      </c>
      <c r="C128" s="69">
        <v>60110116</v>
      </c>
      <c r="D128" s="69">
        <v>170</v>
      </c>
      <c r="E128" s="92">
        <v>13</v>
      </c>
      <c r="F128" s="69">
        <v>85</v>
      </c>
      <c r="G128" s="69">
        <v>150</v>
      </c>
      <c r="H128" s="69">
        <f t="shared" si="17"/>
        <v>32.209499999999998</v>
      </c>
      <c r="I128" s="15">
        <f t="shared" si="10"/>
        <v>52.790500000000002</v>
      </c>
      <c r="J128" s="15">
        <f t="shared" si="11"/>
        <v>-9.4094999999999871</v>
      </c>
      <c r="K128" s="14" t="str">
        <f t="shared" si="12"/>
        <v>KO</v>
      </c>
      <c r="L128" s="15">
        <f t="shared" si="13"/>
        <v>137.79050000000001</v>
      </c>
      <c r="M128" s="216">
        <f t="shared" si="14"/>
        <v>32.209499999999991</v>
      </c>
      <c r="O128" s="160">
        <f t="shared" si="15"/>
        <v>150</v>
      </c>
      <c r="P128" s="51">
        <f t="shared" si="16"/>
        <v>1.638972973812074</v>
      </c>
      <c r="Q128" s="87"/>
    </row>
    <row r="129" spans="1:19" x14ac:dyDescent="0.25">
      <c r="A129" s="316"/>
      <c r="B129" s="68">
        <v>119</v>
      </c>
      <c r="C129" s="68">
        <v>60110030</v>
      </c>
      <c r="D129" s="68">
        <v>100</v>
      </c>
      <c r="E129" s="91">
        <v>11.25</v>
      </c>
      <c r="F129" s="68">
        <v>49</v>
      </c>
      <c r="G129" s="68">
        <v>160</v>
      </c>
      <c r="H129" s="68">
        <f t="shared" si="17"/>
        <v>30.196406250000003</v>
      </c>
      <c r="I129" s="1">
        <f t="shared" si="10"/>
        <v>18.803593749999997</v>
      </c>
      <c r="J129" s="1">
        <f t="shared" si="11"/>
        <v>-43.396406249999991</v>
      </c>
      <c r="K129" t="str">
        <f t="shared" si="12"/>
        <v>KO</v>
      </c>
      <c r="L129" s="1">
        <f t="shared" si="13"/>
        <v>69.803593750000005</v>
      </c>
      <c r="M129" s="1">
        <f t="shared" si="14"/>
        <v>30.196406249999995</v>
      </c>
      <c r="O129" s="160">
        <f t="shared" si="15"/>
        <v>160</v>
      </c>
      <c r="P129" s="51">
        <f t="shared" si="16"/>
        <v>0.62270965605385564</v>
      </c>
      <c r="Q129" s="87"/>
    </row>
    <row r="130" spans="1:19" x14ac:dyDescent="0.25">
      <c r="A130" s="316"/>
      <c r="B130" s="68">
        <v>120</v>
      </c>
      <c r="C130" s="68">
        <v>60110036</v>
      </c>
      <c r="D130" s="68">
        <v>120</v>
      </c>
      <c r="E130" s="91">
        <v>12</v>
      </c>
      <c r="F130" s="68">
        <v>56</v>
      </c>
      <c r="G130" s="68">
        <v>160</v>
      </c>
      <c r="H130" s="68">
        <f t="shared" si="17"/>
        <v>30.196406250000003</v>
      </c>
      <c r="I130" s="1">
        <f t="shared" si="10"/>
        <v>25.803593749999997</v>
      </c>
      <c r="J130" s="1">
        <f t="shared" si="11"/>
        <v>-36.396406249999991</v>
      </c>
      <c r="K130" t="str">
        <f t="shared" si="12"/>
        <v>KO</v>
      </c>
      <c r="L130" s="1">
        <f t="shared" si="13"/>
        <v>89.803593750000005</v>
      </c>
      <c r="M130" s="1">
        <f t="shared" si="14"/>
        <v>30.196406249999995</v>
      </c>
      <c r="O130" s="160">
        <f t="shared" si="15"/>
        <v>160</v>
      </c>
      <c r="P130" s="51">
        <f t="shared" si="16"/>
        <v>0.8545253212044065</v>
      </c>
      <c r="Q130" s="87"/>
    </row>
    <row r="131" spans="1:19" x14ac:dyDescent="0.25">
      <c r="A131" s="316"/>
      <c r="B131" s="68">
        <v>121</v>
      </c>
      <c r="C131" s="68">
        <v>60110065</v>
      </c>
      <c r="D131" s="68">
        <v>140</v>
      </c>
      <c r="E131" s="91">
        <v>12.5</v>
      </c>
      <c r="F131" s="68">
        <v>67</v>
      </c>
      <c r="G131" s="68">
        <v>160</v>
      </c>
      <c r="H131" s="68">
        <f t="shared" si="17"/>
        <v>30.196406250000003</v>
      </c>
      <c r="I131" s="1">
        <f t="shared" si="10"/>
        <v>36.803593749999997</v>
      </c>
      <c r="J131" s="1">
        <f t="shared" si="11"/>
        <v>-25.396406249999991</v>
      </c>
      <c r="K131" t="str">
        <f t="shared" si="12"/>
        <v>KO</v>
      </c>
      <c r="L131" s="1">
        <f t="shared" si="13"/>
        <v>109.80359375</v>
      </c>
      <c r="M131" s="1">
        <f t="shared" si="14"/>
        <v>30.196406249999995</v>
      </c>
      <c r="O131" s="160">
        <f t="shared" si="15"/>
        <v>160</v>
      </c>
      <c r="P131" s="51">
        <f t="shared" si="16"/>
        <v>1.2188070807267006</v>
      </c>
      <c r="Q131" s="87"/>
    </row>
    <row r="132" spans="1:19" ht="15.75" thickBot="1" x14ac:dyDescent="0.3">
      <c r="A132" s="316"/>
      <c r="B132" s="68">
        <v>122</v>
      </c>
      <c r="C132" s="68">
        <v>60110044</v>
      </c>
      <c r="D132" s="68">
        <v>140</v>
      </c>
      <c r="E132" s="91">
        <v>12.75</v>
      </c>
      <c r="F132" s="68">
        <v>65</v>
      </c>
      <c r="G132" s="68">
        <v>170</v>
      </c>
      <c r="H132" s="68">
        <f t="shared" si="17"/>
        <v>28.420147058823531</v>
      </c>
      <c r="I132" s="1">
        <f t="shared" si="10"/>
        <v>36.579852941176469</v>
      </c>
      <c r="J132" s="1">
        <f t="shared" si="11"/>
        <v>-25.62014705882352</v>
      </c>
      <c r="K132" t="str">
        <f t="shared" si="12"/>
        <v>KO</v>
      </c>
      <c r="L132" s="1">
        <f t="shared" si="13"/>
        <v>111.57985294117647</v>
      </c>
      <c r="M132" s="1">
        <f t="shared" si="14"/>
        <v>28.420147058823531</v>
      </c>
      <c r="O132" s="160">
        <f t="shared" si="15"/>
        <v>170</v>
      </c>
      <c r="P132" s="51">
        <f t="shared" si="16"/>
        <v>1.2871099106371309</v>
      </c>
      <c r="Q132" s="87"/>
    </row>
    <row r="133" spans="1:19" ht="15.75" thickBot="1" x14ac:dyDescent="0.3">
      <c r="A133" s="316"/>
      <c r="B133" s="90">
        <v>123</v>
      </c>
      <c r="C133" s="69">
        <v>60110114</v>
      </c>
      <c r="D133" s="69">
        <v>170</v>
      </c>
      <c r="E133" s="92">
        <v>13.5</v>
      </c>
      <c r="F133" s="69">
        <v>82</v>
      </c>
      <c r="G133" s="69">
        <v>170</v>
      </c>
      <c r="H133" s="69">
        <f t="shared" si="17"/>
        <v>28.420147058823531</v>
      </c>
      <c r="I133" s="15">
        <f t="shared" si="10"/>
        <v>53.579852941176469</v>
      </c>
      <c r="J133" s="15">
        <f t="shared" si="11"/>
        <v>-8.6201470588235196</v>
      </c>
      <c r="K133" s="14" t="str">
        <f t="shared" si="12"/>
        <v>KO</v>
      </c>
      <c r="L133" s="15">
        <f t="shared" si="13"/>
        <v>141.57985294117645</v>
      </c>
      <c r="M133" s="216">
        <f t="shared" si="14"/>
        <v>28.420147058823545</v>
      </c>
      <c r="O133" s="160">
        <f t="shared" si="15"/>
        <v>170</v>
      </c>
      <c r="P133" s="51">
        <f t="shared" si="16"/>
        <v>1.885277118034534</v>
      </c>
      <c r="Q133" s="87"/>
    </row>
    <row r="134" spans="1:19" x14ac:dyDescent="0.25">
      <c r="A134" s="316"/>
      <c r="B134" s="68">
        <v>124</v>
      </c>
      <c r="C134" s="68">
        <v>60110031</v>
      </c>
      <c r="D134" s="68">
        <v>100</v>
      </c>
      <c r="E134" s="91">
        <v>11.5</v>
      </c>
      <c r="F134" s="68">
        <v>49</v>
      </c>
      <c r="G134" s="68">
        <v>180</v>
      </c>
      <c r="H134" s="68">
        <f t="shared" si="17"/>
        <v>26.841250000000002</v>
      </c>
      <c r="I134" s="1">
        <f t="shared" si="10"/>
        <v>22.158749999999998</v>
      </c>
      <c r="J134" s="1">
        <f t="shared" si="11"/>
        <v>-40.041249999999991</v>
      </c>
      <c r="K134" t="str">
        <f t="shared" si="12"/>
        <v>KO</v>
      </c>
      <c r="L134" s="1">
        <f t="shared" si="13"/>
        <v>73.158749999999998</v>
      </c>
      <c r="M134" s="1">
        <f t="shared" si="14"/>
        <v>26.841250000000002</v>
      </c>
      <c r="O134" s="160">
        <f t="shared" si="15"/>
        <v>180</v>
      </c>
      <c r="P134" s="51">
        <f t="shared" si="16"/>
        <v>0.82554836306058765</v>
      </c>
      <c r="Q134" s="87"/>
    </row>
    <row r="135" spans="1:19" x14ac:dyDescent="0.25">
      <c r="A135" s="316"/>
      <c r="B135" s="68">
        <v>125</v>
      </c>
      <c r="C135" s="68">
        <v>60110037</v>
      </c>
      <c r="D135" s="68">
        <v>120</v>
      </c>
      <c r="E135" s="91">
        <v>12.25</v>
      </c>
      <c r="F135" s="68">
        <v>57</v>
      </c>
      <c r="G135" s="68">
        <v>180</v>
      </c>
      <c r="H135" s="68">
        <f t="shared" si="17"/>
        <v>26.841250000000002</v>
      </c>
      <c r="I135" s="1">
        <f t="shared" si="10"/>
        <v>30.158749999999998</v>
      </c>
      <c r="J135" s="1">
        <f t="shared" si="11"/>
        <v>-32.041249999999991</v>
      </c>
      <c r="K135" t="str">
        <f t="shared" si="12"/>
        <v>KO</v>
      </c>
      <c r="L135" s="1">
        <f t="shared" si="13"/>
        <v>93.158749999999998</v>
      </c>
      <c r="M135" s="1">
        <f t="shared" si="14"/>
        <v>26.841250000000002</v>
      </c>
      <c r="O135" s="160">
        <f t="shared" si="15"/>
        <v>180</v>
      </c>
      <c r="P135" s="51">
        <f t="shared" si="16"/>
        <v>1.1235970753970101</v>
      </c>
      <c r="Q135" s="87"/>
      <c r="S135" t="s">
        <v>40</v>
      </c>
    </row>
    <row r="136" spans="1:19" x14ac:dyDescent="0.25">
      <c r="A136" s="316"/>
      <c r="B136" s="68">
        <v>126</v>
      </c>
      <c r="C136" s="68">
        <v>60110066</v>
      </c>
      <c r="D136" s="68">
        <v>140</v>
      </c>
      <c r="E136" s="91">
        <v>12.75</v>
      </c>
      <c r="F136" s="68">
        <v>68</v>
      </c>
      <c r="G136" s="68">
        <v>180</v>
      </c>
      <c r="H136" s="68">
        <f t="shared" si="17"/>
        <v>26.841250000000002</v>
      </c>
      <c r="I136" s="1">
        <f t="shared" si="10"/>
        <v>41.158749999999998</v>
      </c>
      <c r="J136" s="1">
        <f t="shared" si="11"/>
        <v>-21.041249999999991</v>
      </c>
      <c r="K136" t="str">
        <f t="shared" si="12"/>
        <v>KO</v>
      </c>
      <c r="L136" s="1">
        <f t="shared" si="13"/>
        <v>113.15875</v>
      </c>
      <c r="M136" s="1">
        <f t="shared" si="14"/>
        <v>26.841250000000002</v>
      </c>
      <c r="O136" s="160">
        <f t="shared" si="15"/>
        <v>180</v>
      </c>
      <c r="P136" s="51">
        <f t="shared" si="16"/>
        <v>1.5334140548595909</v>
      </c>
      <c r="Q136" s="87"/>
    </row>
    <row r="137" spans="1:19" ht="15.75" thickBot="1" x14ac:dyDescent="0.3">
      <c r="A137" s="316"/>
      <c r="B137" s="68">
        <v>127</v>
      </c>
      <c r="C137" s="68">
        <v>60110045</v>
      </c>
      <c r="D137" s="68">
        <v>140</v>
      </c>
      <c r="E137" s="91">
        <v>13</v>
      </c>
      <c r="F137" s="68">
        <v>66</v>
      </c>
      <c r="G137" s="68">
        <v>190</v>
      </c>
      <c r="H137" s="68">
        <f t="shared" si="17"/>
        <v>25.428552631578949</v>
      </c>
      <c r="I137" s="1">
        <f t="shared" si="10"/>
        <v>40.571447368421047</v>
      </c>
      <c r="J137" s="1">
        <f t="shared" si="11"/>
        <v>-21.628552631578941</v>
      </c>
      <c r="K137" t="str">
        <f t="shared" si="12"/>
        <v>KO</v>
      </c>
      <c r="L137" s="1">
        <f t="shared" si="13"/>
        <v>114.57144736842105</v>
      </c>
      <c r="M137" s="1">
        <f t="shared" si="14"/>
        <v>25.428552631578953</v>
      </c>
      <c r="O137" s="160">
        <f t="shared" si="15"/>
        <v>190</v>
      </c>
      <c r="P137" s="51">
        <f t="shared" si="16"/>
        <v>1.5955075365963456</v>
      </c>
      <c r="Q137" s="87"/>
    </row>
    <row r="138" spans="1:19" ht="15.75" thickBot="1" x14ac:dyDescent="0.3">
      <c r="A138" s="316"/>
      <c r="B138" s="90">
        <v>128</v>
      </c>
      <c r="C138" s="69">
        <v>60110117</v>
      </c>
      <c r="D138" s="69">
        <v>170</v>
      </c>
      <c r="E138" s="92">
        <v>14</v>
      </c>
      <c r="F138" s="69">
        <v>78</v>
      </c>
      <c r="G138" s="69">
        <v>190</v>
      </c>
      <c r="H138" s="69">
        <f t="shared" si="17"/>
        <v>25.428552631578949</v>
      </c>
      <c r="I138" s="15">
        <f t="shared" si="10"/>
        <v>52.571447368421047</v>
      </c>
      <c r="J138" s="15">
        <f t="shared" si="11"/>
        <v>-9.6285526315789411</v>
      </c>
      <c r="K138" s="14" t="str">
        <f t="shared" si="12"/>
        <v>KO</v>
      </c>
      <c r="L138" s="15">
        <f t="shared" si="13"/>
        <v>144.57144736842105</v>
      </c>
      <c r="M138" s="216">
        <f t="shared" si="14"/>
        <v>25.428552631578953</v>
      </c>
      <c r="O138" s="160">
        <f t="shared" si="15"/>
        <v>190</v>
      </c>
      <c r="P138" s="51">
        <f t="shared" si="16"/>
        <v>2.067417997795681</v>
      </c>
      <c r="Q138" s="87"/>
    </row>
    <row r="139" spans="1:19" x14ac:dyDescent="0.25">
      <c r="A139" s="316"/>
      <c r="B139" s="68">
        <v>129</v>
      </c>
      <c r="C139" s="68">
        <v>60110032</v>
      </c>
      <c r="D139" s="68">
        <v>100</v>
      </c>
      <c r="E139" s="91">
        <v>12</v>
      </c>
      <c r="F139" s="68">
        <v>46</v>
      </c>
      <c r="G139" s="68">
        <v>200</v>
      </c>
      <c r="H139" s="68">
        <f t="shared" ref="H139:H166" si="18">$B$2/2*9.81*$B$3/G139</f>
        <v>24.157125000000001</v>
      </c>
      <c r="I139" s="1">
        <f t="shared" si="10"/>
        <v>21.842874999999999</v>
      </c>
      <c r="J139" s="1">
        <f t="shared" si="11"/>
        <v>-40.357124999999989</v>
      </c>
      <c r="K139" t="str">
        <f t="shared" si="12"/>
        <v>KO</v>
      </c>
      <c r="L139" s="1">
        <f t="shared" si="13"/>
        <v>75.842874999999992</v>
      </c>
      <c r="M139" s="1">
        <f t="shared" si="14"/>
        <v>24.157125000000008</v>
      </c>
      <c r="O139" s="160">
        <f t="shared" si="15"/>
        <v>200</v>
      </c>
      <c r="P139" s="51">
        <f t="shared" si="16"/>
        <v>0.90420010659381023</v>
      </c>
      <c r="Q139" s="87"/>
    </row>
    <row r="140" spans="1:19" x14ac:dyDescent="0.25">
      <c r="A140" s="316"/>
      <c r="B140" s="68">
        <v>130</v>
      </c>
      <c r="C140" s="68">
        <v>60110038</v>
      </c>
      <c r="D140" s="68">
        <v>120</v>
      </c>
      <c r="E140" s="91">
        <v>12.75</v>
      </c>
      <c r="F140" s="68">
        <v>53</v>
      </c>
      <c r="G140" s="68">
        <v>200</v>
      </c>
      <c r="H140" s="68">
        <f t="shared" si="18"/>
        <v>24.157125000000001</v>
      </c>
      <c r="I140" s="1">
        <f t="shared" ref="I140:I166" si="19">F140-H140</f>
        <v>28.842874999999999</v>
      </c>
      <c r="J140" s="1">
        <f t="shared" ref="J140:J166" si="20">I140-$M$4</f>
        <v>-33.357124999999989</v>
      </c>
      <c r="K140" t="str">
        <f t="shared" ref="K140:K166" si="21">IF(J140&lt;=0,"KO","OK")</f>
        <v>KO</v>
      </c>
      <c r="L140" s="1">
        <f t="shared" ref="L140:L166" si="22">D140-H140</f>
        <v>95.842874999999992</v>
      </c>
      <c r="M140" s="1">
        <f t="shared" ref="M140:M166" si="23">D140-L140</f>
        <v>24.157125000000008</v>
      </c>
      <c r="O140" s="160">
        <f t="shared" ref="O140:O166" si="24">G140/$B$3^2</f>
        <v>200</v>
      </c>
      <c r="P140" s="51">
        <f t="shared" ref="P140:P166" si="25">G140*I140/$B$3/($B$2*9.81*0.5)</f>
        <v>1.1939696880319988</v>
      </c>
      <c r="Q140" s="87"/>
    </row>
    <row r="141" spans="1:19" x14ac:dyDescent="0.25">
      <c r="A141" s="316"/>
      <c r="B141" s="68">
        <v>131</v>
      </c>
      <c r="C141" s="68">
        <v>60110004</v>
      </c>
      <c r="D141" s="68">
        <v>140</v>
      </c>
      <c r="E141" s="91">
        <v>13.25</v>
      </c>
      <c r="F141" s="68">
        <v>68</v>
      </c>
      <c r="G141" s="68">
        <v>200</v>
      </c>
      <c r="H141" s="68">
        <f t="shared" si="18"/>
        <v>24.157125000000001</v>
      </c>
      <c r="I141" s="1">
        <f t="shared" si="19"/>
        <v>43.842874999999999</v>
      </c>
      <c r="J141" s="1">
        <f t="shared" si="20"/>
        <v>-18.357124999999989</v>
      </c>
      <c r="K141" t="str">
        <f t="shared" si="21"/>
        <v>KO</v>
      </c>
      <c r="L141" s="1">
        <f t="shared" si="22"/>
        <v>115.84287499999999</v>
      </c>
      <c r="M141" s="1">
        <f t="shared" si="23"/>
        <v>24.157125000000008</v>
      </c>
      <c r="O141" s="160">
        <f t="shared" si="24"/>
        <v>200</v>
      </c>
      <c r="P141" s="51">
        <f t="shared" si="25"/>
        <v>1.8149045053995458</v>
      </c>
      <c r="Q141" s="87"/>
    </row>
    <row r="142" spans="1:19" x14ac:dyDescent="0.25">
      <c r="A142" s="316"/>
      <c r="B142" s="68">
        <v>132</v>
      </c>
      <c r="C142" s="68">
        <v>60110033</v>
      </c>
      <c r="D142" s="68">
        <v>100</v>
      </c>
      <c r="E142" s="91">
        <v>12.25</v>
      </c>
      <c r="F142" s="68">
        <v>46</v>
      </c>
      <c r="G142" s="68">
        <v>220</v>
      </c>
      <c r="H142" s="68">
        <f t="shared" si="18"/>
        <v>21.961022727272727</v>
      </c>
      <c r="I142" s="1">
        <f t="shared" si="19"/>
        <v>24.038977272727273</v>
      </c>
      <c r="J142" s="1">
        <f t="shared" si="20"/>
        <v>-38.161022727272716</v>
      </c>
      <c r="K142" t="str">
        <f t="shared" si="21"/>
        <v>KO</v>
      </c>
      <c r="L142" s="1">
        <f t="shared" si="22"/>
        <v>78.038977272727266</v>
      </c>
      <c r="M142" s="1">
        <f t="shared" si="23"/>
        <v>21.961022727272734</v>
      </c>
      <c r="O142" s="160">
        <f t="shared" si="24"/>
        <v>220</v>
      </c>
      <c r="P142" s="51">
        <f t="shared" si="25"/>
        <v>1.0946201172531913</v>
      </c>
      <c r="Q142" s="87"/>
    </row>
    <row r="143" spans="1:19" x14ac:dyDescent="0.25">
      <c r="A143" s="316"/>
      <c r="B143" s="68">
        <v>133</v>
      </c>
      <c r="C143" s="68">
        <v>60110061</v>
      </c>
      <c r="D143" s="68">
        <v>120</v>
      </c>
      <c r="E143" s="91">
        <v>13</v>
      </c>
      <c r="F143" s="68">
        <v>53</v>
      </c>
      <c r="G143" s="68">
        <v>220</v>
      </c>
      <c r="H143" s="68">
        <f t="shared" si="18"/>
        <v>21.961022727272727</v>
      </c>
      <c r="I143" s="1">
        <f t="shared" si="19"/>
        <v>31.038977272727273</v>
      </c>
      <c r="J143" s="1">
        <f t="shared" si="20"/>
        <v>-31.161022727272716</v>
      </c>
      <c r="K143" t="str">
        <f t="shared" si="21"/>
        <v>KO</v>
      </c>
      <c r="L143" s="1">
        <f t="shared" si="22"/>
        <v>98.038977272727266</v>
      </c>
      <c r="M143" s="1">
        <f t="shared" si="23"/>
        <v>21.961022727272734</v>
      </c>
      <c r="O143" s="160">
        <f t="shared" si="24"/>
        <v>220</v>
      </c>
      <c r="P143" s="51">
        <f t="shared" si="25"/>
        <v>1.4133666568351986</v>
      </c>
      <c r="Q143" s="87"/>
    </row>
    <row r="144" spans="1:19" x14ac:dyDescent="0.25">
      <c r="A144" s="316"/>
      <c r="B144" s="68">
        <v>134</v>
      </c>
      <c r="C144" s="68">
        <v>60110067</v>
      </c>
      <c r="D144" s="68">
        <v>140</v>
      </c>
      <c r="E144" s="91">
        <v>13.5</v>
      </c>
      <c r="F144" s="68">
        <v>63</v>
      </c>
      <c r="G144" s="68">
        <v>220</v>
      </c>
      <c r="H144" s="68">
        <f t="shared" si="18"/>
        <v>21.961022727272727</v>
      </c>
      <c r="I144" s="1">
        <f t="shared" si="19"/>
        <v>41.038977272727273</v>
      </c>
      <c r="J144" s="1">
        <f t="shared" si="20"/>
        <v>-21.161022727272716</v>
      </c>
      <c r="K144" t="str">
        <f t="shared" si="21"/>
        <v>KO</v>
      </c>
      <c r="L144" s="1">
        <f t="shared" si="22"/>
        <v>118.03897727272727</v>
      </c>
      <c r="M144" s="1">
        <f t="shared" si="23"/>
        <v>21.961022727272734</v>
      </c>
      <c r="O144" s="160">
        <f t="shared" si="24"/>
        <v>220</v>
      </c>
      <c r="P144" s="51">
        <f t="shared" si="25"/>
        <v>1.8687188562380666</v>
      </c>
      <c r="Q144" s="87"/>
    </row>
    <row r="145" spans="1:17" x14ac:dyDescent="0.25">
      <c r="A145" s="316"/>
      <c r="B145" s="68">
        <v>135</v>
      </c>
      <c r="C145" s="68">
        <v>60110084</v>
      </c>
      <c r="D145" s="68">
        <v>100</v>
      </c>
      <c r="E145" s="91">
        <v>12.75</v>
      </c>
      <c r="F145" s="68">
        <v>42</v>
      </c>
      <c r="G145" s="68">
        <v>240</v>
      </c>
      <c r="H145" s="68">
        <f t="shared" si="18"/>
        <v>20.130937500000002</v>
      </c>
      <c r="I145" s="1">
        <f t="shared" si="19"/>
        <v>21.869062499999998</v>
      </c>
      <c r="J145" s="1">
        <f t="shared" si="20"/>
        <v>-40.33093749999999</v>
      </c>
      <c r="K145" t="str">
        <f t="shared" si="21"/>
        <v>KO</v>
      </c>
      <c r="L145" s="1">
        <f t="shared" si="22"/>
        <v>79.869062499999998</v>
      </c>
      <c r="M145" s="1">
        <f t="shared" si="23"/>
        <v>20.130937500000002</v>
      </c>
      <c r="O145" s="160">
        <f t="shared" si="24"/>
        <v>240</v>
      </c>
      <c r="P145" s="51">
        <f t="shared" si="25"/>
        <v>1.0863409863549573</v>
      </c>
      <c r="Q145" s="87"/>
    </row>
    <row r="146" spans="1:17" x14ac:dyDescent="0.25">
      <c r="A146" s="316"/>
      <c r="B146" s="68">
        <v>136</v>
      </c>
      <c r="C146" s="68">
        <v>60110007</v>
      </c>
      <c r="D146" s="68">
        <v>120</v>
      </c>
      <c r="E146" s="91">
        <v>13.25</v>
      </c>
      <c r="F146" s="68">
        <v>53</v>
      </c>
      <c r="G146" s="68">
        <v>240</v>
      </c>
      <c r="H146" s="68">
        <f t="shared" si="18"/>
        <v>20.130937500000002</v>
      </c>
      <c r="I146" s="1">
        <f t="shared" si="19"/>
        <v>32.869062499999998</v>
      </c>
      <c r="J146" s="1">
        <f t="shared" si="20"/>
        <v>-29.33093749999999</v>
      </c>
      <c r="K146" t="str">
        <f t="shared" si="21"/>
        <v>KO</v>
      </c>
      <c r="L146" s="1">
        <f t="shared" si="22"/>
        <v>99.869062499999998</v>
      </c>
      <c r="M146" s="1">
        <f t="shared" si="23"/>
        <v>20.130937500000002</v>
      </c>
      <c r="O146" s="160">
        <f t="shared" si="24"/>
        <v>240</v>
      </c>
      <c r="P146" s="51">
        <f t="shared" si="25"/>
        <v>1.6327636256383986</v>
      </c>
      <c r="Q146" s="87"/>
    </row>
    <row r="147" spans="1:17" x14ac:dyDescent="0.25">
      <c r="A147" s="316"/>
      <c r="B147" s="68">
        <v>137</v>
      </c>
      <c r="C147" s="68">
        <v>60110109</v>
      </c>
      <c r="D147" s="68">
        <v>140</v>
      </c>
      <c r="E147" s="91">
        <v>14.25</v>
      </c>
      <c r="F147" s="68">
        <v>58</v>
      </c>
      <c r="G147" s="68">
        <v>240</v>
      </c>
      <c r="H147" s="68">
        <f t="shared" si="18"/>
        <v>20.130937500000002</v>
      </c>
      <c r="I147" s="1">
        <f t="shared" si="19"/>
        <v>37.869062499999998</v>
      </c>
      <c r="J147" s="1">
        <f t="shared" si="20"/>
        <v>-24.33093749999999</v>
      </c>
      <c r="K147" t="str">
        <f t="shared" si="21"/>
        <v>KO</v>
      </c>
      <c r="L147" s="1">
        <f t="shared" si="22"/>
        <v>119.8690625</v>
      </c>
      <c r="M147" s="1">
        <f t="shared" si="23"/>
        <v>20.130937500000002</v>
      </c>
      <c r="O147" s="160">
        <f t="shared" si="24"/>
        <v>240</v>
      </c>
      <c r="P147" s="51">
        <f t="shared" si="25"/>
        <v>1.881137552585417</v>
      </c>
      <c r="Q147" s="87"/>
    </row>
    <row r="148" spans="1:17" x14ac:dyDescent="0.25">
      <c r="A148" s="316"/>
      <c r="B148" s="68">
        <v>138</v>
      </c>
      <c r="C148" s="68">
        <v>60110085</v>
      </c>
      <c r="D148" s="68">
        <v>100</v>
      </c>
      <c r="E148" s="91">
        <v>13</v>
      </c>
      <c r="F148" s="68">
        <v>40</v>
      </c>
      <c r="G148" s="68">
        <v>260</v>
      </c>
      <c r="H148" s="68">
        <f t="shared" si="18"/>
        <v>18.582403846153849</v>
      </c>
      <c r="I148" s="1">
        <f t="shared" si="19"/>
        <v>21.417596153846151</v>
      </c>
      <c r="J148" s="1">
        <f t="shared" si="20"/>
        <v>-40.782403846153841</v>
      </c>
      <c r="K148" t="str">
        <f t="shared" si="21"/>
        <v>KO</v>
      </c>
      <c r="L148" s="1">
        <f t="shared" si="22"/>
        <v>81.417596153846148</v>
      </c>
      <c r="M148" s="1">
        <f t="shared" si="23"/>
        <v>18.582403846153852</v>
      </c>
      <c r="O148" s="160">
        <f t="shared" si="24"/>
        <v>260</v>
      </c>
      <c r="P148" s="51">
        <f t="shared" si="25"/>
        <v>1.152574033540829</v>
      </c>
      <c r="Q148" s="87"/>
    </row>
    <row r="149" spans="1:17" x14ac:dyDescent="0.25">
      <c r="A149" s="316"/>
      <c r="B149" s="68">
        <v>139</v>
      </c>
      <c r="C149" s="68">
        <v>60110008</v>
      </c>
      <c r="D149" s="68">
        <v>120</v>
      </c>
      <c r="E149" s="91">
        <v>13.5</v>
      </c>
      <c r="F149" s="68">
        <v>52</v>
      </c>
      <c r="G149" s="68">
        <v>260</v>
      </c>
      <c r="H149" s="68">
        <f t="shared" si="18"/>
        <v>18.582403846153849</v>
      </c>
      <c r="I149" s="1">
        <f t="shared" si="19"/>
        <v>33.417596153846148</v>
      </c>
      <c r="J149" s="1">
        <f t="shared" si="20"/>
        <v>-28.782403846153841</v>
      </c>
      <c r="K149" t="str">
        <f t="shared" si="21"/>
        <v>KO</v>
      </c>
      <c r="L149" s="1">
        <f t="shared" si="22"/>
        <v>101.41759615384615</v>
      </c>
      <c r="M149" s="1">
        <f t="shared" si="23"/>
        <v>18.582403846153852</v>
      </c>
      <c r="O149" s="160">
        <f t="shared" si="24"/>
        <v>260</v>
      </c>
      <c r="P149" s="51">
        <f t="shared" si="25"/>
        <v>1.7983462436030775</v>
      </c>
      <c r="Q149" s="87"/>
    </row>
    <row r="150" spans="1:17" x14ac:dyDescent="0.25">
      <c r="A150" s="316"/>
      <c r="B150" s="68">
        <v>140</v>
      </c>
      <c r="C150" s="68">
        <v>60110110</v>
      </c>
      <c r="D150" s="68">
        <v>140</v>
      </c>
      <c r="E150" s="91">
        <v>14.5</v>
      </c>
      <c r="F150" s="68">
        <v>58</v>
      </c>
      <c r="G150" s="68">
        <v>260</v>
      </c>
      <c r="H150" s="68">
        <f t="shared" si="18"/>
        <v>18.582403846153849</v>
      </c>
      <c r="I150" s="1">
        <f t="shared" si="19"/>
        <v>39.417596153846148</v>
      </c>
      <c r="J150" s="1">
        <f t="shared" si="20"/>
        <v>-22.782403846153841</v>
      </c>
      <c r="K150" t="str">
        <f t="shared" si="21"/>
        <v>KO</v>
      </c>
      <c r="L150" s="1">
        <f t="shared" si="22"/>
        <v>121.41759615384615</v>
      </c>
      <c r="M150" s="1">
        <f t="shared" si="23"/>
        <v>18.582403846153852</v>
      </c>
      <c r="O150" s="160">
        <f t="shared" si="24"/>
        <v>260</v>
      </c>
      <c r="P150" s="51">
        <f t="shared" si="25"/>
        <v>2.121232348634202</v>
      </c>
      <c r="Q150" s="87"/>
    </row>
    <row r="151" spans="1:17" x14ac:dyDescent="0.25">
      <c r="A151" s="316"/>
      <c r="B151" s="68">
        <v>141</v>
      </c>
      <c r="C151" s="68">
        <v>60110086</v>
      </c>
      <c r="D151" s="68">
        <v>100</v>
      </c>
      <c r="E151" s="91">
        <v>13.25</v>
      </c>
      <c r="F151" s="68">
        <v>40</v>
      </c>
      <c r="G151" s="68">
        <v>280</v>
      </c>
      <c r="H151" s="68">
        <f t="shared" si="18"/>
        <v>17.255089285714288</v>
      </c>
      <c r="I151" s="1">
        <f t="shared" si="19"/>
        <v>22.744910714285712</v>
      </c>
      <c r="J151" s="1">
        <f t="shared" si="20"/>
        <v>-39.45508928571428</v>
      </c>
      <c r="K151" t="str">
        <f t="shared" si="21"/>
        <v>KO</v>
      </c>
      <c r="L151" s="1">
        <f t="shared" si="22"/>
        <v>82.744910714285709</v>
      </c>
      <c r="M151" s="1">
        <f t="shared" si="23"/>
        <v>17.255089285714291</v>
      </c>
      <c r="O151" s="160">
        <f t="shared" si="24"/>
        <v>280</v>
      </c>
      <c r="P151" s="51">
        <f t="shared" si="25"/>
        <v>1.3181566515055081</v>
      </c>
      <c r="Q151" s="87"/>
    </row>
    <row r="152" spans="1:17" x14ac:dyDescent="0.25">
      <c r="A152" s="316"/>
      <c r="B152" s="68">
        <v>142</v>
      </c>
      <c r="C152" s="68">
        <v>60110107</v>
      </c>
      <c r="D152" s="68">
        <v>120</v>
      </c>
      <c r="E152" s="91">
        <v>14</v>
      </c>
      <c r="F152" s="68">
        <v>52</v>
      </c>
      <c r="G152" s="68">
        <v>280</v>
      </c>
      <c r="H152" s="68">
        <f t="shared" si="18"/>
        <v>17.255089285714288</v>
      </c>
      <c r="I152" s="1">
        <f t="shared" si="19"/>
        <v>34.744910714285709</v>
      </c>
      <c r="J152" s="1">
        <f t="shared" si="20"/>
        <v>-27.45508928571428</v>
      </c>
      <c r="K152" t="str">
        <f t="shared" si="21"/>
        <v>KO</v>
      </c>
      <c r="L152" s="1">
        <f t="shared" si="22"/>
        <v>102.74491071428571</v>
      </c>
      <c r="M152" s="1">
        <f t="shared" si="23"/>
        <v>17.255089285714291</v>
      </c>
      <c r="O152" s="160">
        <f t="shared" si="24"/>
        <v>280</v>
      </c>
      <c r="P152" s="51">
        <f t="shared" si="25"/>
        <v>2.0136036469571605</v>
      </c>
      <c r="Q152" s="87"/>
    </row>
    <row r="153" spans="1:17" x14ac:dyDescent="0.25">
      <c r="A153" s="316"/>
      <c r="B153" s="68">
        <v>143</v>
      </c>
      <c r="C153" s="68">
        <v>60110087</v>
      </c>
      <c r="D153" s="68">
        <v>100</v>
      </c>
      <c r="E153" s="91">
        <v>13.5</v>
      </c>
      <c r="F153" s="68">
        <v>39</v>
      </c>
      <c r="G153" s="68">
        <v>300</v>
      </c>
      <c r="H153" s="68">
        <f t="shared" si="18"/>
        <v>16.104749999999999</v>
      </c>
      <c r="I153" s="1">
        <f t="shared" si="19"/>
        <v>22.895250000000001</v>
      </c>
      <c r="J153" s="1">
        <f t="shared" si="20"/>
        <v>-39.304749999999984</v>
      </c>
      <c r="K153" t="str">
        <f t="shared" si="21"/>
        <v>KO</v>
      </c>
      <c r="L153" s="1">
        <f t="shared" si="22"/>
        <v>83.895250000000004</v>
      </c>
      <c r="M153" s="1">
        <f t="shared" si="23"/>
        <v>16.104749999999996</v>
      </c>
      <c r="O153" s="160">
        <f t="shared" si="24"/>
        <v>300</v>
      </c>
      <c r="P153" s="51">
        <f t="shared" si="25"/>
        <v>1.4216457877334325</v>
      </c>
      <c r="Q153" s="87"/>
    </row>
    <row r="154" spans="1:17" x14ac:dyDescent="0.25">
      <c r="A154" s="316"/>
      <c r="B154" s="68">
        <v>144</v>
      </c>
      <c r="C154" s="68">
        <v>60110108</v>
      </c>
      <c r="D154" s="68">
        <v>120</v>
      </c>
      <c r="E154" s="91">
        <v>14.25</v>
      </c>
      <c r="F154" s="68">
        <v>48</v>
      </c>
      <c r="G154" s="68">
        <v>300</v>
      </c>
      <c r="H154" s="68">
        <f t="shared" si="18"/>
        <v>16.104749999999999</v>
      </c>
      <c r="I154" s="1">
        <f t="shared" si="19"/>
        <v>31.895250000000001</v>
      </c>
      <c r="J154" s="1">
        <f t="shared" si="20"/>
        <v>-30.304749999999988</v>
      </c>
      <c r="K154" t="str">
        <f t="shared" si="21"/>
        <v>KO</v>
      </c>
      <c r="L154" s="1">
        <f t="shared" si="22"/>
        <v>103.89525</v>
      </c>
      <c r="M154" s="1">
        <f t="shared" si="23"/>
        <v>16.104749999999996</v>
      </c>
      <c r="O154" s="160">
        <f t="shared" si="24"/>
        <v>300</v>
      </c>
      <c r="P154" s="51">
        <f t="shared" si="25"/>
        <v>1.9804871233642249</v>
      </c>
      <c r="Q154" s="87"/>
    </row>
    <row r="155" spans="1:17" x14ac:dyDescent="0.25">
      <c r="A155" s="316"/>
      <c r="B155" s="68">
        <v>145</v>
      </c>
      <c r="C155" s="68">
        <v>60110088</v>
      </c>
      <c r="D155" s="68">
        <v>100</v>
      </c>
      <c r="E155" s="91">
        <v>13.75</v>
      </c>
      <c r="F155" s="68">
        <v>38</v>
      </c>
      <c r="G155" s="68">
        <v>320</v>
      </c>
      <c r="H155" s="68">
        <f t="shared" si="18"/>
        <v>15.098203125000001</v>
      </c>
      <c r="I155" s="1">
        <f t="shared" si="19"/>
        <v>22.901796874999999</v>
      </c>
      <c r="J155" s="1">
        <f t="shared" si="20"/>
        <v>-39.298203124999986</v>
      </c>
      <c r="K155" t="str">
        <f t="shared" si="21"/>
        <v>KO</v>
      </c>
      <c r="L155" s="1">
        <f t="shared" si="22"/>
        <v>84.901796875000002</v>
      </c>
      <c r="M155" s="1">
        <f t="shared" si="23"/>
        <v>15.098203124999998</v>
      </c>
      <c r="O155" s="160">
        <f t="shared" si="24"/>
        <v>320</v>
      </c>
      <c r="P155" s="51">
        <f t="shared" si="25"/>
        <v>1.516855793063123</v>
      </c>
      <c r="Q155" s="87"/>
    </row>
    <row r="156" spans="1:17" x14ac:dyDescent="0.25">
      <c r="A156" s="316"/>
      <c r="B156" s="68">
        <v>146</v>
      </c>
      <c r="C156" s="68">
        <v>60110089</v>
      </c>
      <c r="D156" s="68">
        <v>100</v>
      </c>
      <c r="E156" s="91">
        <v>14</v>
      </c>
      <c r="F156" s="68">
        <v>37</v>
      </c>
      <c r="G156" s="68">
        <v>340</v>
      </c>
      <c r="H156" s="68">
        <f t="shared" si="18"/>
        <v>14.210073529411765</v>
      </c>
      <c r="I156" s="1">
        <f t="shared" si="19"/>
        <v>22.789926470588235</v>
      </c>
      <c r="J156" s="1">
        <f t="shared" si="20"/>
        <v>-39.410073529411754</v>
      </c>
      <c r="K156" t="str">
        <f t="shared" si="21"/>
        <v>KO</v>
      </c>
      <c r="L156" s="1">
        <f t="shared" si="22"/>
        <v>85.789926470588227</v>
      </c>
      <c r="M156" s="1">
        <f t="shared" si="23"/>
        <v>14.210073529411773</v>
      </c>
      <c r="O156" s="160">
        <f t="shared" si="24"/>
        <v>340</v>
      </c>
      <c r="P156" s="51">
        <f t="shared" si="25"/>
        <v>1.6037866674945798</v>
      </c>
      <c r="Q156" s="87"/>
    </row>
    <row r="157" spans="1:17" x14ac:dyDescent="0.25">
      <c r="A157" s="317" t="s">
        <v>35</v>
      </c>
      <c r="B157" s="68">
        <v>147</v>
      </c>
      <c r="C157" s="68">
        <v>60110125</v>
      </c>
      <c r="D157" s="68">
        <v>250</v>
      </c>
      <c r="E157" s="91">
        <v>12</v>
      </c>
      <c r="F157" s="68">
        <v>148</v>
      </c>
      <c r="G157" s="68">
        <v>60</v>
      </c>
      <c r="H157" s="68">
        <f t="shared" si="18"/>
        <v>80.523750000000007</v>
      </c>
      <c r="I157" s="1">
        <f t="shared" si="19"/>
        <v>67.476249999999993</v>
      </c>
      <c r="J157" s="1">
        <f t="shared" si="20"/>
        <v>5.2762500000000045</v>
      </c>
      <c r="K157" t="str">
        <f t="shared" si="21"/>
        <v>OK</v>
      </c>
      <c r="L157" s="1">
        <f t="shared" si="22"/>
        <v>169.47624999999999</v>
      </c>
      <c r="M157" s="1">
        <f t="shared" si="23"/>
        <v>80.523750000000007</v>
      </c>
      <c r="O157" s="160">
        <f t="shared" si="24"/>
        <v>60</v>
      </c>
      <c r="P157" s="51">
        <f t="shared" si="25"/>
        <v>0.83796705940793859</v>
      </c>
      <c r="Q157" s="87"/>
    </row>
    <row r="158" spans="1:17" x14ac:dyDescent="0.25">
      <c r="A158" s="317"/>
      <c r="B158" s="68">
        <v>148</v>
      </c>
      <c r="C158" s="68">
        <v>60110124</v>
      </c>
      <c r="D158" s="68">
        <v>200</v>
      </c>
      <c r="E158" s="91">
        <v>11.75</v>
      </c>
      <c r="F158" s="68">
        <v>117</v>
      </c>
      <c r="G158" s="68">
        <v>70</v>
      </c>
      <c r="H158" s="68">
        <f t="shared" si="18"/>
        <v>69.020357142857151</v>
      </c>
      <c r="I158" s="1">
        <f t="shared" si="19"/>
        <v>47.979642857142849</v>
      </c>
      <c r="J158" s="1">
        <f t="shared" si="20"/>
        <v>-14.220357142857139</v>
      </c>
      <c r="K158" t="str">
        <f t="shared" si="21"/>
        <v>KO</v>
      </c>
      <c r="L158" s="1">
        <f t="shared" si="22"/>
        <v>130.97964285714284</v>
      </c>
      <c r="M158" s="1">
        <f t="shared" si="23"/>
        <v>69.020357142857165</v>
      </c>
      <c r="O158" s="160">
        <f t="shared" si="24"/>
        <v>70</v>
      </c>
      <c r="P158" s="51">
        <f t="shared" si="25"/>
        <v>0.69515205141340275</v>
      </c>
      <c r="Q158" s="87"/>
    </row>
    <row r="159" spans="1:17" x14ac:dyDescent="0.25">
      <c r="A159" s="317"/>
      <c r="B159" s="68">
        <v>149</v>
      </c>
      <c r="C159" s="68">
        <v>60110126</v>
      </c>
      <c r="D159" s="68">
        <v>250</v>
      </c>
      <c r="E159" s="91">
        <v>12.5</v>
      </c>
      <c r="F159" s="68">
        <v>145</v>
      </c>
      <c r="G159" s="68">
        <v>70</v>
      </c>
      <c r="H159" s="68">
        <f t="shared" si="18"/>
        <v>69.020357142857151</v>
      </c>
      <c r="I159" s="1">
        <f t="shared" si="19"/>
        <v>75.979642857142849</v>
      </c>
      <c r="J159" s="1">
        <f t="shared" si="20"/>
        <v>13.779642857142861</v>
      </c>
      <c r="K159" t="str">
        <f t="shared" si="21"/>
        <v>OK</v>
      </c>
      <c r="L159" s="1">
        <f t="shared" si="22"/>
        <v>180.97964285714284</v>
      </c>
      <c r="M159" s="1">
        <f t="shared" si="23"/>
        <v>69.020357142857165</v>
      </c>
      <c r="O159" s="160">
        <f t="shared" si="24"/>
        <v>70</v>
      </c>
      <c r="P159" s="51">
        <f t="shared" si="25"/>
        <v>1.1008294654268667</v>
      </c>
      <c r="Q159" s="87"/>
    </row>
    <row r="160" spans="1:17" x14ac:dyDescent="0.25">
      <c r="A160" s="317"/>
      <c r="B160" s="68">
        <v>150</v>
      </c>
      <c r="C160" s="68">
        <v>60110146</v>
      </c>
      <c r="D160" s="68">
        <v>170</v>
      </c>
      <c r="E160" s="91">
        <v>11.9</v>
      </c>
      <c r="F160" s="68">
        <v>100</v>
      </c>
      <c r="G160" s="68">
        <v>80</v>
      </c>
      <c r="H160" s="68">
        <f t="shared" si="18"/>
        <v>60.392812500000005</v>
      </c>
      <c r="I160" s="1">
        <f t="shared" si="19"/>
        <v>39.607187499999995</v>
      </c>
      <c r="J160" s="1">
        <f t="shared" si="20"/>
        <v>-22.592812499999994</v>
      </c>
      <c r="K160" t="str">
        <f t="shared" si="21"/>
        <v>KO</v>
      </c>
      <c r="L160" s="1">
        <f t="shared" si="22"/>
        <v>109.60718749999999</v>
      </c>
      <c r="M160" s="1">
        <f t="shared" si="23"/>
        <v>60.392812500000005</v>
      </c>
      <c r="O160" s="160">
        <f t="shared" si="24"/>
        <v>80</v>
      </c>
      <c r="P160" s="51">
        <f t="shared" si="25"/>
        <v>0.65582617964679146</v>
      </c>
      <c r="Q160" s="87"/>
    </row>
    <row r="161" spans="1:17" x14ac:dyDescent="0.25">
      <c r="A161" s="317"/>
      <c r="B161" s="68">
        <v>151</v>
      </c>
      <c r="C161" s="68">
        <v>60110127</v>
      </c>
      <c r="D161" s="68">
        <v>250</v>
      </c>
      <c r="E161" s="91">
        <v>13</v>
      </c>
      <c r="F161" s="68">
        <v>141</v>
      </c>
      <c r="G161" s="68">
        <v>80</v>
      </c>
      <c r="H161" s="68">
        <f t="shared" si="18"/>
        <v>60.392812500000005</v>
      </c>
      <c r="I161" s="1">
        <f t="shared" si="19"/>
        <v>80.607187499999995</v>
      </c>
      <c r="J161" s="1">
        <f t="shared" si="20"/>
        <v>18.407187500000006</v>
      </c>
      <c r="K161" t="str">
        <f t="shared" si="21"/>
        <v>OK</v>
      </c>
      <c r="L161" s="1">
        <f t="shared" si="22"/>
        <v>189.60718750000001</v>
      </c>
      <c r="M161" s="1">
        <f t="shared" si="23"/>
        <v>60.392812499999991</v>
      </c>
      <c r="O161" s="160">
        <f t="shared" si="24"/>
        <v>80</v>
      </c>
      <c r="P161" s="51">
        <f t="shared" si="25"/>
        <v>1.334714913301976</v>
      </c>
      <c r="Q161" s="87"/>
    </row>
    <row r="162" spans="1:17" x14ac:dyDescent="0.25">
      <c r="A162" s="317"/>
      <c r="B162" s="68">
        <v>152</v>
      </c>
      <c r="C162" s="68">
        <v>60110179</v>
      </c>
      <c r="D162" s="68">
        <v>170</v>
      </c>
      <c r="E162" s="91">
        <v>13.1</v>
      </c>
      <c r="F162" s="68">
        <v>75</v>
      </c>
      <c r="G162" s="68">
        <v>100</v>
      </c>
      <c r="H162" s="68">
        <f t="shared" si="18"/>
        <v>48.314250000000001</v>
      </c>
      <c r="I162" s="1">
        <f t="shared" si="19"/>
        <v>26.685749999999999</v>
      </c>
      <c r="J162" s="1">
        <f t="shared" si="20"/>
        <v>-35.51424999999999</v>
      </c>
      <c r="K162" t="str">
        <f t="shared" si="21"/>
        <v>KO</v>
      </c>
      <c r="L162" s="1">
        <f t="shared" si="22"/>
        <v>121.68575</v>
      </c>
      <c r="M162" s="1">
        <f t="shared" si="23"/>
        <v>48.314250000000001</v>
      </c>
      <c r="O162" s="160">
        <f t="shared" si="24"/>
        <v>100</v>
      </c>
      <c r="P162" s="51">
        <f t="shared" si="25"/>
        <v>0.55233704341886702</v>
      </c>
      <c r="Q162" s="87"/>
    </row>
    <row r="163" spans="1:17" x14ac:dyDescent="0.25">
      <c r="A163" s="317"/>
      <c r="B163" s="68">
        <v>153</v>
      </c>
      <c r="C163" s="68">
        <v>60110176</v>
      </c>
      <c r="D163" s="68">
        <v>200</v>
      </c>
      <c r="E163" s="91">
        <v>13</v>
      </c>
      <c r="F163" s="68">
        <v>112</v>
      </c>
      <c r="G163" s="68">
        <v>100</v>
      </c>
      <c r="H163" s="68">
        <f t="shared" si="18"/>
        <v>48.314250000000001</v>
      </c>
      <c r="I163" s="1">
        <f t="shared" si="19"/>
        <v>63.685749999999999</v>
      </c>
      <c r="J163" s="1">
        <f t="shared" si="20"/>
        <v>1.4857500000000101</v>
      </c>
      <c r="K163" t="str">
        <f t="shared" si="21"/>
        <v>OK</v>
      </c>
      <c r="L163" s="1">
        <f t="shared" si="22"/>
        <v>151.68574999999998</v>
      </c>
      <c r="M163" s="1">
        <f t="shared" si="23"/>
        <v>48.314250000000015</v>
      </c>
      <c r="O163" s="160">
        <f t="shared" si="24"/>
        <v>100</v>
      </c>
      <c r="P163" s="51">
        <f t="shared" si="25"/>
        <v>1.3181566515055081</v>
      </c>
      <c r="Q163" s="87"/>
    </row>
    <row r="164" spans="1:17" x14ac:dyDescent="0.25">
      <c r="A164" s="317"/>
      <c r="B164" s="68">
        <v>154</v>
      </c>
      <c r="C164" s="68">
        <v>60110128</v>
      </c>
      <c r="D164" s="68">
        <v>250</v>
      </c>
      <c r="E164" s="91">
        <v>14</v>
      </c>
      <c r="F164" s="68">
        <v>130</v>
      </c>
      <c r="G164" s="68">
        <v>100</v>
      </c>
      <c r="H164" s="68">
        <f t="shared" si="18"/>
        <v>48.314250000000001</v>
      </c>
      <c r="I164" s="1">
        <f t="shared" si="19"/>
        <v>81.685749999999999</v>
      </c>
      <c r="J164" s="1">
        <f t="shared" si="20"/>
        <v>19.48575000000001</v>
      </c>
      <c r="K164" t="str">
        <f t="shared" si="21"/>
        <v>OK</v>
      </c>
      <c r="L164" s="1">
        <f t="shared" si="22"/>
        <v>201.68574999999998</v>
      </c>
      <c r="M164" s="1">
        <f t="shared" si="23"/>
        <v>48.314250000000015</v>
      </c>
      <c r="O164" s="160">
        <f t="shared" si="24"/>
        <v>100</v>
      </c>
      <c r="P164" s="51">
        <f t="shared" si="25"/>
        <v>1.6907175419260363</v>
      </c>
      <c r="Q164" s="87"/>
    </row>
    <row r="165" spans="1:17" x14ac:dyDescent="0.25">
      <c r="A165" s="317"/>
      <c r="B165" s="68">
        <v>155</v>
      </c>
      <c r="C165" s="68">
        <v>60110180</v>
      </c>
      <c r="D165" s="68">
        <v>170</v>
      </c>
      <c r="E165" s="91">
        <v>13.75</v>
      </c>
      <c r="F165" s="68">
        <v>72</v>
      </c>
      <c r="G165" s="68">
        <v>120</v>
      </c>
      <c r="H165" s="68">
        <f t="shared" si="18"/>
        <v>40.261875000000003</v>
      </c>
      <c r="I165" s="1">
        <f t="shared" si="19"/>
        <v>31.738124999999997</v>
      </c>
      <c r="J165" s="1">
        <f t="shared" si="20"/>
        <v>-30.461874999999992</v>
      </c>
      <c r="K165" t="str">
        <f t="shared" si="21"/>
        <v>KO</v>
      </c>
      <c r="L165" s="1">
        <f t="shared" si="22"/>
        <v>129.738125</v>
      </c>
      <c r="M165" s="1">
        <f t="shared" si="23"/>
        <v>40.261875000000003</v>
      </c>
      <c r="O165" s="160">
        <f t="shared" si="24"/>
        <v>120</v>
      </c>
      <c r="P165" s="51">
        <f t="shared" si="25"/>
        <v>0.78829227401853486</v>
      </c>
      <c r="Q165" s="87"/>
    </row>
    <row r="166" spans="1:17" x14ac:dyDescent="0.25">
      <c r="A166" s="317"/>
      <c r="B166" s="68">
        <v>156</v>
      </c>
      <c r="C166" s="68">
        <v>60110177</v>
      </c>
      <c r="D166" s="68">
        <v>200</v>
      </c>
      <c r="E166" s="91">
        <v>13.75</v>
      </c>
      <c r="F166" s="68">
        <v>106</v>
      </c>
      <c r="G166" s="68">
        <v>120</v>
      </c>
      <c r="H166" s="68">
        <f t="shared" si="18"/>
        <v>40.261875000000003</v>
      </c>
      <c r="I166" s="1">
        <f t="shared" si="19"/>
        <v>65.738124999999997</v>
      </c>
      <c r="J166" s="1">
        <f t="shared" si="20"/>
        <v>3.538125000000008</v>
      </c>
      <c r="K166" t="str">
        <f t="shared" si="21"/>
        <v>OK</v>
      </c>
      <c r="L166" s="1">
        <f t="shared" si="22"/>
        <v>159.738125</v>
      </c>
      <c r="M166" s="1">
        <f t="shared" si="23"/>
        <v>40.261875000000003</v>
      </c>
      <c r="O166" s="160">
        <f t="shared" si="24"/>
        <v>120</v>
      </c>
      <c r="P166" s="51">
        <f t="shared" si="25"/>
        <v>1.6327636256383986</v>
      </c>
      <c r="Q166" s="87"/>
    </row>
    <row r="200" spans="4:4" x14ac:dyDescent="0.25">
      <c r="D200" s="1"/>
    </row>
    <row r="201" spans="4:4" x14ac:dyDescent="0.25">
      <c r="D201" s="1"/>
    </row>
    <row r="202" spans="4:4" x14ac:dyDescent="0.25">
      <c r="D202" s="1"/>
    </row>
    <row r="203" spans="4:4" x14ac:dyDescent="0.25">
      <c r="D203" s="1"/>
    </row>
    <row r="205" spans="4:4" x14ac:dyDescent="0.25">
      <c r="D205" s="1"/>
    </row>
    <row r="206" spans="4:4" x14ac:dyDescent="0.25">
      <c r="D206" s="1"/>
    </row>
    <row r="207" spans="4:4" x14ac:dyDescent="0.25">
      <c r="D207" s="1"/>
    </row>
    <row r="208" spans="4:4" x14ac:dyDescent="0.25">
      <c r="D208" s="1"/>
    </row>
    <row r="209" spans="4:4" x14ac:dyDescent="0.25">
      <c r="D209" s="1"/>
    </row>
    <row r="210" spans="4:4" x14ac:dyDescent="0.25">
      <c r="D210" s="1"/>
    </row>
    <row r="211" spans="4:4" x14ac:dyDescent="0.25">
      <c r="D211" s="1"/>
    </row>
    <row r="212" spans="4:4" x14ac:dyDescent="0.25">
      <c r="D212" s="1"/>
    </row>
    <row r="213" spans="4:4" x14ac:dyDescent="0.25">
      <c r="D213" s="1"/>
    </row>
    <row r="214" spans="4:4" x14ac:dyDescent="0.25">
      <c r="D214" s="1"/>
    </row>
    <row r="215" spans="4:4" x14ac:dyDescent="0.25">
      <c r="D215" s="1"/>
    </row>
    <row r="216" spans="4:4" x14ac:dyDescent="0.25">
      <c r="D216" s="1"/>
    </row>
    <row r="217" spans="4:4" x14ac:dyDescent="0.25">
      <c r="D217" s="1"/>
    </row>
    <row r="218" spans="4:4" x14ac:dyDescent="0.25">
      <c r="D218" s="1"/>
    </row>
    <row r="219" spans="4:4" x14ac:dyDescent="0.25">
      <c r="D219" s="1"/>
    </row>
    <row r="220" spans="4:4" x14ac:dyDescent="0.25">
      <c r="D220" s="1"/>
    </row>
    <row r="221" spans="4:4" x14ac:dyDescent="0.25">
      <c r="D221" s="1"/>
    </row>
    <row r="222" spans="4:4" x14ac:dyDescent="0.25">
      <c r="D222" s="1"/>
    </row>
    <row r="223" spans="4:4" x14ac:dyDescent="0.25">
      <c r="D223" s="1"/>
    </row>
    <row r="224" spans="4:4" x14ac:dyDescent="0.25">
      <c r="D224" s="1"/>
    </row>
    <row r="225" spans="4:4" x14ac:dyDescent="0.25">
      <c r="D225" s="1"/>
    </row>
    <row r="226" spans="4:4" x14ac:dyDescent="0.25">
      <c r="D226" s="1"/>
    </row>
    <row r="227" spans="4:4" x14ac:dyDescent="0.25">
      <c r="D227" s="1"/>
    </row>
    <row r="228" spans="4:4" x14ac:dyDescent="0.25">
      <c r="D228" s="1"/>
    </row>
    <row r="229" spans="4:4" x14ac:dyDescent="0.25">
      <c r="D229" s="1"/>
    </row>
    <row r="230" spans="4:4" x14ac:dyDescent="0.25">
      <c r="D230" s="1"/>
    </row>
    <row r="231" spans="4:4" x14ac:dyDescent="0.25">
      <c r="D231" s="1"/>
    </row>
    <row r="232" spans="4:4" x14ac:dyDescent="0.25">
      <c r="D232" s="1"/>
    </row>
    <row r="233" spans="4:4" x14ac:dyDescent="0.25">
      <c r="D233" s="1"/>
    </row>
    <row r="234" spans="4:4" x14ac:dyDescent="0.25">
      <c r="D234" s="1"/>
    </row>
    <row r="235" spans="4:4" x14ac:dyDescent="0.25">
      <c r="D235" s="1"/>
    </row>
    <row r="236" spans="4:4" x14ac:dyDescent="0.25">
      <c r="D236" s="1"/>
    </row>
    <row r="237" spans="4:4" x14ac:dyDescent="0.25">
      <c r="D237" s="1"/>
    </row>
    <row r="238" spans="4:4" x14ac:dyDescent="0.25">
      <c r="D238" s="1"/>
    </row>
    <row r="239" spans="4:4" x14ac:dyDescent="0.25">
      <c r="D239" s="1"/>
    </row>
    <row r="240" spans="4:4" x14ac:dyDescent="0.25">
      <c r="D240" s="1"/>
    </row>
    <row r="241" spans="4:4" x14ac:dyDescent="0.25">
      <c r="D241" s="1"/>
    </row>
    <row r="242" spans="4:4" x14ac:dyDescent="0.25">
      <c r="D242" s="1"/>
    </row>
    <row r="243" spans="4:4" x14ac:dyDescent="0.25">
      <c r="D243" s="1"/>
    </row>
    <row r="244" spans="4:4" x14ac:dyDescent="0.25">
      <c r="D244" s="1"/>
    </row>
    <row r="245" spans="4:4" x14ac:dyDescent="0.25">
      <c r="D245" s="1"/>
    </row>
    <row r="246" spans="4:4" x14ac:dyDescent="0.25">
      <c r="D246" s="1"/>
    </row>
    <row r="247" spans="4:4" x14ac:dyDescent="0.25">
      <c r="D247" s="1"/>
    </row>
    <row r="248" spans="4:4" x14ac:dyDescent="0.25">
      <c r="D248" s="1"/>
    </row>
    <row r="249" spans="4:4" x14ac:dyDescent="0.25">
      <c r="D249" s="1"/>
    </row>
    <row r="250" spans="4:4" x14ac:dyDescent="0.25">
      <c r="D250" s="1"/>
    </row>
    <row r="251" spans="4:4" x14ac:dyDescent="0.25">
      <c r="D251" s="1"/>
    </row>
    <row r="252" spans="4:4" x14ac:dyDescent="0.25">
      <c r="D252" s="1"/>
    </row>
    <row r="253" spans="4:4" x14ac:dyDescent="0.25">
      <c r="D253" s="1"/>
    </row>
    <row r="254" spans="4:4" x14ac:dyDescent="0.25">
      <c r="D254" s="1"/>
    </row>
    <row r="255" spans="4:4" x14ac:dyDescent="0.25">
      <c r="D255" s="1"/>
    </row>
    <row r="256" spans="4:4" x14ac:dyDescent="0.25">
      <c r="D256" s="1"/>
    </row>
    <row r="257" spans="4:4" x14ac:dyDescent="0.25">
      <c r="D257" s="1"/>
    </row>
    <row r="258" spans="4:4" x14ac:dyDescent="0.25">
      <c r="D258" s="1"/>
    </row>
    <row r="259" spans="4:4" x14ac:dyDescent="0.25">
      <c r="D259" s="1"/>
    </row>
    <row r="260" spans="4:4" x14ac:dyDescent="0.25">
      <c r="D260" s="1"/>
    </row>
    <row r="261" spans="4:4" x14ac:dyDescent="0.25">
      <c r="D261" s="1"/>
    </row>
    <row r="262" spans="4:4" x14ac:dyDescent="0.25">
      <c r="D262" s="1"/>
    </row>
    <row r="263" spans="4:4" x14ac:dyDescent="0.25">
      <c r="D263" s="1"/>
    </row>
    <row r="264" spans="4:4" x14ac:dyDescent="0.25">
      <c r="D264" s="1"/>
    </row>
    <row r="265" spans="4:4" x14ac:dyDescent="0.25">
      <c r="D265" s="1"/>
    </row>
    <row r="266" spans="4:4" x14ac:dyDescent="0.25">
      <c r="D266" s="1"/>
    </row>
    <row r="267" spans="4:4" x14ac:dyDescent="0.25">
      <c r="D267" s="1"/>
    </row>
    <row r="268" spans="4:4" x14ac:dyDescent="0.25">
      <c r="D268" s="1"/>
    </row>
    <row r="269" spans="4:4" x14ac:dyDescent="0.25">
      <c r="D269" s="1"/>
    </row>
    <row r="270" spans="4:4" x14ac:dyDescent="0.25">
      <c r="D270" s="1"/>
    </row>
    <row r="271" spans="4:4" x14ac:dyDescent="0.25">
      <c r="D271" s="1"/>
    </row>
    <row r="272" spans="4:4" x14ac:dyDescent="0.25">
      <c r="D272" s="1"/>
    </row>
    <row r="273" spans="4:4" x14ac:dyDescent="0.25">
      <c r="D273" s="1"/>
    </row>
    <row r="274" spans="4:4" x14ac:dyDescent="0.25">
      <c r="D274" s="1"/>
    </row>
    <row r="275" spans="4:4" x14ac:dyDescent="0.25">
      <c r="D275" s="1"/>
    </row>
    <row r="276" spans="4:4" x14ac:dyDescent="0.25">
      <c r="D276" s="1"/>
    </row>
    <row r="277" spans="4:4" x14ac:dyDescent="0.25">
      <c r="D277" s="1"/>
    </row>
    <row r="278" spans="4:4" x14ac:dyDescent="0.25">
      <c r="D278" s="1"/>
    </row>
    <row r="279" spans="4:4" x14ac:dyDescent="0.25">
      <c r="D279" s="1"/>
    </row>
    <row r="280" spans="4:4" x14ac:dyDescent="0.25">
      <c r="D280" s="1"/>
    </row>
    <row r="281" spans="4:4" x14ac:dyDescent="0.25">
      <c r="D281" s="1"/>
    </row>
    <row r="282" spans="4:4" x14ac:dyDescent="0.25">
      <c r="D282" s="1"/>
    </row>
    <row r="283" spans="4:4" x14ac:dyDescent="0.25">
      <c r="D283" s="1"/>
    </row>
    <row r="284" spans="4:4" x14ac:dyDescent="0.25">
      <c r="D284" s="1"/>
    </row>
    <row r="285" spans="4:4" x14ac:dyDescent="0.25">
      <c r="D285" s="1"/>
    </row>
    <row r="286" spans="4:4" x14ac:dyDescent="0.25">
      <c r="D286" s="1"/>
    </row>
    <row r="287" spans="4:4" x14ac:dyDescent="0.25">
      <c r="D287" s="1"/>
    </row>
    <row r="288" spans="4:4" x14ac:dyDescent="0.25">
      <c r="D288" s="1"/>
    </row>
    <row r="289" spans="4:4" x14ac:dyDescent="0.25">
      <c r="D289" s="1"/>
    </row>
    <row r="290" spans="4:4" x14ac:dyDescent="0.25">
      <c r="D290" s="1"/>
    </row>
    <row r="291" spans="4:4" x14ac:dyDescent="0.25">
      <c r="D291" s="1"/>
    </row>
    <row r="292" spans="4:4" x14ac:dyDescent="0.25">
      <c r="D292" s="1"/>
    </row>
    <row r="293" spans="4:4" x14ac:dyDescent="0.25">
      <c r="D293" s="1"/>
    </row>
    <row r="294" spans="4:4" x14ac:dyDescent="0.25">
      <c r="D294" s="1"/>
    </row>
    <row r="295" spans="4:4" x14ac:dyDescent="0.25">
      <c r="D295" s="1"/>
    </row>
    <row r="296" spans="4:4" x14ac:dyDescent="0.25">
      <c r="D296" s="1"/>
    </row>
    <row r="297" spans="4:4" x14ac:dyDescent="0.25">
      <c r="D297" s="1"/>
    </row>
    <row r="298" spans="4:4" x14ac:dyDescent="0.25">
      <c r="D298" s="1"/>
    </row>
    <row r="299" spans="4:4" x14ac:dyDescent="0.25">
      <c r="D299" s="1"/>
    </row>
    <row r="300" spans="4:4" x14ac:dyDescent="0.25">
      <c r="D300" s="1"/>
    </row>
    <row r="301" spans="4:4" x14ac:dyDescent="0.25">
      <c r="D301" s="1"/>
    </row>
    <row r="302" spans="4:4" x14ac:dyDescent="0.25">
      <c r="D302" s="1"/>
    </row>
    <row r="303" spans="4:4" x14ac:dyDescent="0.25">
      <c r="D303" s="1"/>
    </row>
    <row r="304" spans="4:4" x14ac:dyDescent="0.25">
      <c r="D304" s="1"/>
    </row>
    <row r="305" spans="4:4" x14ac:dyDescent="0.25">
      <c r="D305" s="1"/>
    </row>
    <row r="306" spans="4:4" x14ac:dyDescent="0.25">
      <c r="D306" s="1"/>
    </row>
    <row r="307" spans="4:4" x14ac:dyDescent="0.25">
      <c r="D307" s="1"/>
    </row>
    <row r="308" spans="4:4" x14ac:dyDescent="0.25">
      <c r="D308" s="1"/>
    </row>
    <row r="309" spans="4:4" x14ac:dyDescent="0.25">
      <c r="D309" s="1"/>
    </row>
    <row r="310" spans="4:4" x14ac:dyDescent="0.25">
      <c r="D310" s="1"/>
    </row>
    <row r="311" spans="4:4" x14ac:dyDescent="0.25">
      <c r="D311" s="1"/>
    </row>
    <row r="312" spans="4:4" x14ac:dyDescent="0.25">
      <c r="D312" s="1"/>
    </row>
    <row r="313" spans="4:4" x14ac:dyDescent="0.25">
      <c r="D313" s="1"/>
    </row>
    <row r="314" spans="4:4" x14ac:dyDescent="0.25">
      <c r="D314" s="1"/>
    </row>
    <row r="315" spans="4:4" x14ac:dyDescent="0.25">
      <c r="D315" s="1"/>
    </row>
    <row r="316" spans="4:4" x14ac:dyDescent="0.25">
      <c r="D316" s="1"/>
    </row>
    <row r="317" spans="4:4" x14ac:dyDescent="0.25">
      <c r="D317" s="1"/>
    </row>
    <row r="318" spans="4:4" x14ac:dyDescent="0.25">
      <c r="D318" s="1"/>
    </row>
    <row r="319" spans="4:4" x14ac:dyDescent="0.25">
      <c r="D319" s="1"/>
    </row>
    <row r="320" spans="4:4" x14ac:dyDescent="0.25">
      <c r="D320" s="1"/>
    </row>
    <row r="321" spans="4:4" x14ac:dyDescent="0.25">
      <c r="D321" s="1"/>
    </row>
    <row r="322" spans="4:4" x14ac:dyDescent="0.25">
      <c r="D322" s="1"/>
    </row>
    <row r="323" spans="4:4" x14ac:dyDescent="0.25">
      <c r="D323" s="1"/>
    </row>
    <row r="324" spans="4:4" x14ac:dyDescent="0.25">
      <c r="D324" s="1"/>
    </row>
    <row r="325" spans="4:4" x14ac:dyDescent="0.25">
      <c r="D325" s="1"/>
    </row>
    <row r="326" spans="4:4" x14ac:dyDescent="0.25">
      <c r="D326" s="1"/>
    </row>
    <row r="327" spans="4:4" x14ac:dyDescent="0.25">
      <c r="D327" s="1"/>
    </row>
    <row r="328" spans="4:4" x14ac:dyDescent="0.25">
      <c r="D328" s="1"/>
    </row>
    <row r="329" spans="4:4" x14ac:dyDescent="0.25">
      <c r="D329" s="1"/>
    </row>
    <row r="330" spans="4:4" x14ac:dyDescent="0.25">
      <c r="D330" s="1"/>
    </row>
    <row r="331" spans="4:4" x14ac:dyDescent="0.25">
      <c r="D331" s="1"/>
    </row>
    <row r="332" spans="4:4" x14ac:dyDescent="0.25">
      <c r="D332" s="1"/>
    </row>
    <row r="333" spans="4:4" x14ac:dyDescent="0.25">
      <c r="D333" s="1"/>
    </row>
    <row r="334" spans="4:4" x14ac:dyDescent="0.25">
      <c r="D334" s="1"/>
    </row>
    <row r="335" spans="4:4" x14ac:dyDescent="0.25">
      <c r="D335" s="1"/>
    </row>
    <row r="336" spans="4:4" x14ac:dyDescent="0.25">
      <c r="D336" s="1"/>
    </row>
    <row r="337" spans="4:4" x14ac:dyDescent="0.25">
      <c r="D337" s="1"/>
    </row>
    <row r="338" spans="4:4" x14ac:dyDescent="0.25">
      <c r="D338" s="1"/>
    </row>
    <row r="339" spans="4:4" x14ac:dyDescent="0.25">
      <c r="D339" s="1"/>
    </row>
    <row r="340" spans="4:4" x14ac:dyDescent="0.25">
      <c r="D340" s="1"/>
    </row>
    <row r="341" spans="4:4" x14ac:dyDescent="0.25">
      <c r="D341" s="1"/>
    </row>
    <row r="342" spans="4:4" x14ac:dyDescent="0.25">
      <c r="D342" s="1"/>
    </row>
    <row r="343" spans="4:4" x14ac:dyDescent="0.25">
      <c r="D343" s="1"/>
    </row>
    <row r="344" spans="4:4" x14ac:dyDescent="0.25">
      <c r="D344" s="1"/>
    </row>
    <row r="345" spans="4:4" x14ac:dyDescent="0.25">
      <c r="D345" s="1"/>
    </row>
    <row r="346" spans="4:4" x14ac:dyDescent="0.25">
      <c r="D346" s="1"/>
    </row>
    <row r="347" spans="4:4" x14ac:dyDescent="0.25">
      <c r="D347" s="1"/>
    </row>
    <row r="348" spans="4:4" x14ac:dyDescent="0.25">
      <c r="D348" s="1"/>
    </row>
    <row r="349" spans="4:4" x14ac:dyDescent="0.25">
      <c r="D349" s="1"/>
    </row>
    <row r="350" spans="4:4" x14ac:dyDescent="0.25">
      <c r="D350" s="1"/>
    </row>
    <row r="351" spans="4:4" x14ac:dyDescent="0.25">
      <c r="D351" s="1"/>
    </row>
    <row r="352" spans="4:4" x14ac:dyDescent="0.25">
      <c r="D352" s="1"/>
    </row>
    <row r="353" spans="4:4" x14ac:dyDescent="0.25">
      <c r="D353" s="1"/>
    </row>
    <row r="354" spans="4:4" x14ac:dyDescent="0.25">
      <c r="D354" s="1"/>
    </row>
    <row r="355" spans="4:4" x14ac:dyDescent="0.25">
      <c r="D355" s="1"/>
    </row>
  </sheetData>
  <mergeCells count="6">
    <mergeCell ref="A54:A156"/>
    <mergeCell ref="A157:A166"/>
    <mergeCell ref="G2:I2"/>
    <mergeCell ref="L2:N2"/>
    <mergeCell ref="A11:A53"/>
    <mergeCell ref="G6:J6"/>
  </mergeCells>
  <conditionalFormatting sqref="I11:I166">
    <cfRule type="cellIs" dxfId="17" priority="7" operator="lessThan">
      <formula>0</formula>
    </cfRule>
    <cfRule type="cellIs" dxfId="16" priority="8" operator="greaterThan">
      <formula>0</formula>
    </cfRule>
  </conditionalFormatting>
  <conditionalFormatting sqref="K11:K166">
    <cfRule type="cellIs" dxfId="15" priority="5" operator="equal">
      <formula>"OK"</formula>
    </cfRule>
    <cfRule type="cellIs" dxfId="14" priority="6" operator="equal">
      <formula>"KO"</formula>
    </cfRule>
  </conditionalFormatting>
  <conditionalFormatting sqref="J11:J166">
    <cfRule type="colorScale" priority="4">
      <colorScale>
        <cfvo type="min"/>
        <cfvo type="percentile" val="50"/>
        <cfvo type="num" val="0"/>
        <color rgb="FFF8696B"/>
        <color rgb="FFFFEB84"/>
        <color rgb="FF63BE7B"/>
      </colorScale>
    </cfRule>
  </conditionalFormatting>
  <conditionalFormatting sqref="L11:L166">
    <cfRule type="cellIs" dxfId="13" priority="3" operator="between">
      <formula>$L$7</formula>
      <formula>$L$8</formula>
    </cfRule>
  </conditionalFormatting>
  <conditionalFormatting sqref="M11:M166">
    <cfRule type="cellIs" dxfId="12" priority="1" operator="lessThan">
      <formula>$N$4</formula>
    </cfRule>
    <cfRule type="cellIs" dxfId="11" priority="2" operator="greaterThanOrEqual">
      <formula>$N$4</formula>
    </cfRule>
  </conditionalFormatting>
  <dataValidations count="1">
    <dataValidation type="list" allowBlank="1" showInputMessage="1" showErrorMessage="1" sqref="AA19" xr:uid="{00000000-0002-0000-0600-000000000000}">
      <formula1>$U$18:$U$20</formula1>
    </dataValidation>
  </dataValidations>
  <pageMargins left="0.7" right="0.7" top="0.75" bottom="0.75" header="0.3" footer="0.3"/>
  <pageSetup paperSize="9" scale="2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1000000}">
          <x14:formula1>
            <xm:f>'wheel travel'!#REF!</xm:f>
          </x14:formula1>
          <xm:sqref>E4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oglio9">
    <tabColor theme="8"/>
    <pageSetUpPr fitToPage="1"/>
  </sheetPr>
  <dimension ref="A1:R46"/>
  <sheetViews>
    <sheetView zoomScale="85" zoomScaleNormal="85" workbookViewId="0">
      <selection activeCell="V27" sqref="V27"/>
    </sheetView>
  </sheetViews>
  <sheetFormatPr defaultRowHeight="15" x14ac:dyDescent="0.25"/>
  <cols>
    <col min="2" max="2" width="18.28515625" bestFit="1" customWidth="1"/>
    <col min="3" max="3" width="10.42578125" customWidth="1"/>
    <col min="4" max="4" width="12.28515625" customWidth="1"/>
    <col min="5" max="5" width="15.28515625" bestFit="1" customWidth="1"/>
    <col min="6" max="6" width="10" customWidth="1"/>
    <col min="8" max="8" width="18.28515625" bestFit="1" customWidth="1"/>
    <col min="9" max="9" width="13.42578125" customWidth="1"/>
    <col min="11" max="11" width="15.28515625" bestFit="1" customWidth="1"/>
    <col min="12" max="12" width="15.7109375" customWidth="1"/>
    <col min="13" max="13" width="24.42578125" customWidth="1"/>
    <col min="18" max="18" width="20.5703125" bestFit="1" customWidth="1"/>
  </cols>
  <sheetData>
    <row r="1" spans="2:18" ht="15.75" thickBot="1" x14ac:dyDescent="0.3"/>
    <row r="2" spans="2:18" s="10" customFormat="1" ht="30" x14ac:dyDescent="0.25">
      <c r="B2" s="19" t="s">
        <v>44</v>
      </c>
      <c r="C2" s="20" t="s">
        <v>45</v>
      </c>
      <c r="E2" s="348" t="s">
        <v>113</v>
      </c>
      <c r="F2" s="349"/>
      <c r="G2" s="350"/>
      <c r="M2" s="80" t="s">
        <v>73</v>
      </c>
      <c r="O2" s="348" t="s">
        <v>54</v>
      </c>
      <c r="P2" s="349"/>
      <c r="Q2" s="349"/>
      <c r="R2" s="350"/>
    </row>
    <row r="3" spans="2:18" x14ac:dyDescent="0.25">
      <c r="B3" s="70">
        <v>150</v>
      </c>
      <c r="C3" s="71">
        <v>75</v>
      </c>
      <c r="E3" s="21" t="s">
        <v>52</v>
      </c>
      <c r="F3" s="48">
        <v>0</v>
      </c>
      <c r="G3" s="17" t="s">
        <v>43</v>
      </c>
      <c r="M3" s="81" t="s">
        <v>74</v>
      </c>
      <c r="O3" s="324" t="s">
        <v>55</v>
      </c>
      <c r="P3" s="325"/>
      <c r="Q3" s="325"/>
      <c r="R3" s="326"/>
    </row>
    <row r="4" spans="2:18" ht="60.75" thickBot="1" x14ac:dyDescent="0.3">
      <c r="B4" s="70">
        <v>175</v>
      </c>
      <c r="C4" s="71">
        <v>100</v>
      </c>
      <c r="E4" s="25" t="s">
        <v>53</v>
      </c>
      <c r="F4" s="110">
        <v>0</v>
      </c>
      <c r="G4" s="18" t="s">
        <v>43</v>
      </c>
      <c r="M4" s="82" t="s">
        <v>75</v>
      </c>
      <c r="O4" s="26" t="s">
        <v>28</v>
      </c>
      <c r="P4" s="27" t="s">
        <v>29</v>
      </c>
      <c r="Q4" s="27" t="s">
        <v>58</v>
      </c>
      <c r="R4" s="28" t="s">
        <v>59</v>
      </c>
    </row>
    <row r="5" spans="2:18" ht="15.75" thickBot="1" x14ac:dyDescent="0.3">
      <c r="B5" s="70">
        <v>200</v>
      </c>
      <c r="C5" s="71">
        <v>125</v>
      </c>
      <c r="E5" s="16"/>
      <c r="F5" s="16"/>
      <c r="G5" s="16"/>
      <c r="M5" s="83" t="s">
        <v>78</v>
      </c>
      <c r="O5" s="70">
        <v>5</v>
      </c>
      <c r="P5" s="48">
        <v>80</v>
      </c>
      <c r="Q5" s="48">
        <v>55</v>
      </c>
      <c r="R5" s="71">
        <v>60110144</v>
      </c>
    </row>
    <row r="6" spans="2:18" x14ac:dyDescent="0.25">
      <c r="B6" s="70">
        <v>225</v>
      </c>
      <c r="C6" s="71">
        <v>150</v>
      </c>
      <c r="E6" s="348" t="s">
        <v>113</v>
      </c>
      <c r="F6" s="349"/>
      <c r="G6" s="350"/>
      <c r="M6" s="84" t="s">
        <v>79</v>
      </c>
      <c r="O6" s="70">
        <v>20</v>
      </c>
      <c r="P6" s="48">
        <v>60</v>
      </c>
      <c r="Q6" s="48">
        <v>46</v>
      </c>
      <c r="R6" s="71">
        <v>60110028</v>
      </c>
    </row>
    <row r="7" spans="2:18" ht="15.75" thickBot="1" x14ac:dyDescent="0.3">
      <c r="B7" s="70">
        <v>250</v>
      </c>
      <c r="C7" s="71">
        <v>175</v>
      </c>
      <c r="E7" s="21" t="s">
        <v>52</v>
      </c>
      <c r="F7" s="48">
        <v>0</v>
      </c>
      <c r="G7" s="17" t="s">
        <v>43</v>
      </c>
      <c r="M7" s="85" t="s">
        <v>80</v>
      </c>
      <c r="O7" s="324" t="s">
        <v>56</v>
      </c>
      <c r="P7" s="325"/>
      <c r="Q7" s="325"/>
      <c r="R7" s="326"/>
    </row>
    <row r="8" spans="2:18" ht="15.75" thickBot="1" x14ac:dyDescent="0.3">
      <c r="B8" s="70">
        <v>270</v>
      </c>
      <c r="C8" s="71">
        <v>195</v>
      </c>
      <c r="E8" s="25" t="s">
        <v>53</v>
      </c>
      <c r="F8" s="74">
        <v>0</v>
      </c>
      <c r="G8" s="18" t="s">
        <v>43</v>
      </c>
      <c r="O8" s="70">
        <v>3</v>
      </c>
      <c r="P8" s="48">
        <v>80</v>
      </c>
      <c r="Q8" s="48">
        <v>68</v>
      </c>
      <c r="R8" s="71">
        <v>60110100</v>
      </c>
    </row>
    <row r="9" spans="2:18" ht="15.75" thickBot="1" x14ac:dyDescent="0.3">
      <c r="B9" s="72">
        <v>300</v>
      </c>
      <c r="C9" s="73">
        <v>225</v>
      </c>
      <c r="O9" s="70">
        <v>10</v>
      </c>
      <c r="P9" s="48">
        <v>80</v>
      </c>
      <c r="Q9" s="48">
        <v>55</v>
      </c>
      <c r="R9" s="71">
        <v>60110028</v>
      </c>
    </row>
    <row r="10" spans="2:18" ht="15.75" thickBot="1" x14ac:dyDescent="0.3">
      <c r="O10" s="70">
        <v>20</v>
      </c>
      <c r="P10" s="48">
        <v>80</v>
      </c>
      <c r="Q10" s="48">
        <v>45</v>
      </c>
      <c r="R10" s="71">
        <v>60110005</v>
      </c>
    </row>
    <row r="11" spans="2:18" ht="15.75" thickBot="1" x14ac:dyDescent="0.3">
      <c r="B11" s="304" t="s">
        <v>51</v>
      </c>
      <c r="C11" s="306"/>
      <c r="F11" s="345" t="s">
        <v>27</v>
      </c>
      <c r="G11" s="346"/>
      <c r="H11" s="347"/>
      <c r="O11" s="70">
        <v>40</v>
      </c>
      <c r="P11" s="48">
        <v>60</v>
      </c>
      <c r="Q11" s="48">
        <v>44</v>
      </c>
      <c r="R11" s="71">
        <v>60110080</v>
      </c>
    </row>
    <row r="12" spans="2:18" ht="15.75" thickBot="1" x14ac:dyDescent="0.3">
      <c r="B12" s="22" t="s">
        <v>50</v>
      </c>
      <c r="C12" s="130">
        <v>77.5</v>
      </c>
      <c r="E12" s="109">
        <v>1</v>
      </c>
      <c r="F12" s="105" t="s">
        <v>20</v>
      </c>
      <c r="G12" s="106" t="s">
        <v>21</v>
      </c>
      <c r="H12" s="107" t="s">
        <v>22</v>
      </c>
      <c r="O12" s="70">
        <v>50</v>
      </c>
      <c r="P12" s="48">
        <v>60</v>
      </c>
      <c r="Q12" s="48">
        <v>43</v>
      </c>
      <c r="R12" s="71">
        <v>60110081</v>
      </c>
    </row>
    <row r="13" spans="2:18" ht="15.75" thickBot="1" x14ac:dyDescent="0.3">
      <c r="B13" s="23" t="s">
        <v>46</v>
      </c>
      <c r="C13" s="71">
        <v>23</v>
      </c>
      <c r="E13" s="98" t="str">
        <f>VLOOKUP($E$12,'rear wheel travel'!$A$13:$E$15,2)</f>
        <v>Race</v>
      </c>
      <c r="F13" s="108">
        <f>H13+G13</f>
        <v>119.89999999999998</v>
      </c>
      <c r="G13" s="108">
        <f>'rear spring'!M4</f>
        <v>62.199999999999989</v>
      </c>
      <c r="H13" s="108">
        <f>'rear spring'!J8-'rear spring'!G8</f>
        <v>57.699999999999989</v>
      </c>
      <c r="O13" s="70">
        <v>60</v>
      </c>
      <c r="P13" s="48">
        <v>60</v>
      </c>
      <c r="Q13" s="48">
        <v>36</v>
      </c>
      <c r="R13" s="71">
        <v>60110092</v>
      </c>
    </row>
    <row r="14" spans="2:18" x14ac:dyDescent="0.25">
      <c r="B14" s="23" t="s">
        <v>47</v>
      </c>
      <c r="C14" s="71">
        <v>35.5</v>
      </c>
      <c r="E14" s="42"/>
      <c r="F14" s="1"/>
      <c r="G14" s="1"/>
      <c r="H14" s="1"/>
      <c r="O14" s="324" t="s">
        <v>57</v>
      </c>
      <c r="P14" s="325"/>
      <c r="Q14" s="325"/>
      <c r="R14" s="326"/>
    </row>
    <row r="15" spans="2:18" ht="15.75" thickBot="1" x14ac:dyDescent="0.3">
      <c r="B15" s="23" t="s">
        <v>48</v>
      </c>
      <c r="C15" s="71">
        <v>13</v>
      </c>
      <c r="E15" s="42"/>
      <c r="F15" s="1"/>
      <c r="G15" s="1"/>
      <c r="H15" s="1"/>
      <c r="O15" s="72">
        <v>15</v>
      </c>
      <c r="P15" s="74">
        <v>80</v>
      </c>
      <c r="Q15" s="74">
        <v>53</v>
      </c>
      <c r="R15" s="73">
        <v>60110122</v>
      </c>
    </row>
    <row r="16" spans="2:18" x14ac:dyDescent="0.25">
      <c r="B16" s="23" t="s">
        <v>49</v>
      </c>
      <c r="C16" s="71">
        <v>3</v>
      </c>
    </row>
    <row r="17" spans="1:18" ht="15.75" thickBot="1" x14ac:dyDescent="0.3">
      <c r="B17" s="29" t="s">
        <v>62</v>
      </c>
      <c r="C17" s="73">
        <v>11.5</v>
      </c>
    </row>
    <row r="20" spans="1:18" ht="15.75" thickBot="1" x14ac:dyDescent="0.3"/>
    <row r="21" spans="1:18" ht="30.75" thickBot="1" x14ac:dyDescent="0.3">
      <c r="E21" s="30" t="s">
        <v>69</v>
      </c>
      <c r="F21" s="327" t="s">
        <v>67</v>
      </c>
      <c r="G21" s="327" t="s">
        <v>68</v>
      </c>
      <c r="I21" s="318" t="s">
        <v>60</v>
      </c>
      <c r="J21" s="319"/>
      <c r="K21" s="320"/>
      <c r="M21" s="330" t="s">
        <v>83</v>
      </c>
      <c r="N21" s="331"/>
      <c r="O21" s="332"/>
      <c r="P21" t="s">
        <v>105</v>
      </c>
    </row>
    <row r="22" spans="1:18" ht="15.75" thickBot="1" x14ac:dyDescent="0.3">
      <c r="C22" s="31" t="s">
        <v>46</v>
      </c>
      <c r="D22" s="75">
        <f>$C$13</f>
        <v>23</v>
      </c>
      <c r="E22" s="333">
        <f>SUM(D22:D25)-F23</f>
        <v>74.699999999999989</v>
      </c>
      <c r="F22" s="328"/>
      <c r="G22" s="329"/>
      <c r="I22" s="318" t="s">
        <v>64</v>
      </c>
      <c r="J22" s="319"/>
      <c r="K22" s="320"/>
      <c r="M22" s="24" t="s">
        <v>21</v>
      </c>
      <c r="N22" s="128">
        <f>G24-G13</f>
        <v>13.100000000000023</v>
      </c>
      <c r="O22" s="35" t="s">
        <v>43</v>
      </c>
      <c r="Q22" s="1"/>
      <c r="R22" s="1"/>
    </row>
    <row r="23" spans="1:18" ht="15.75" thickBot="1" x14ac:dyDescent="0.3">
      <c r="C23" s="32" t="s">
        <v>65</v>
      </c>
      <c r="D23" s="53">
        <v>225</v>
      </c>
      <c r="E23" s="334"/>
      <c r="F23" s="336">
        <f>'rear spring'!G8</f>
        <v>400.8</v>
      </c>
      <c r="G23" s="328"/>
      <c r="I23" s="39" t="s">
        <v>62</v>
      </c>
      <c r="J23" s="77">
        <f>$C$17</f>
        <v>11.5</v>
      </c>
      <c r="K23" s="40" t="s">
        <v>43</v>
      </c>
      <c r="M23" s="36" t="s">
        <v>22</v>
      </c>
      <c r="N23" s="129">
        <f>E22-H13</f>
        <v>17</v>
      </c>
      <c r="O23" s="38" t="s">
        <v>43</v>
      </c>
      <c r="Q23" s="1"/>
      <c r="R23" s="1"/>
    </row>
    <row r="24" spans="1:18" ht="30.75" thickBot="1" x14ac:dyDescent="0.3">
      <c r="C24" s="32" t="s">
        <v>66</v>
      </c>
      <c r="D24" s="76">
        <f>VLOOKUP($D$23,$B$3:$C$9,2)</f>
        <v>150</v>
      </c>
      <c r="E24" s="334"/>
      <c r="F24" s="337"/>
      <c r="G24" s="333">
        <f>D24-E22</f>
        <v>75.300000000000011</v>
      </c>
      <c r="I24" s="86" t="s">
        <v>61</v>
      </c>
      <c r="J24" s="54">
        <f>$G$30</f>
        <v>132.8351923076923</v>
      </c>
      <c r="K24" s="35" t="s">
        <v>43</v>
      </c>
      <c r="R24" s="1"/>
    </row>
    <row r="25" spans="1:18" ht="15.75" thickBot="1" x14ac:dyDescent="0.3">
      <c r="C25" s="33" t="s">
        <v>50</v>
      </c>
      <c r="D25" s="52">
        <f>$C$12</f>
        <v>77.5</v>
      </c>
      <c r="E25" s="335"/>
      <c r="F25" s="338"/>
      <c r="G25" s="335"/>
      <c r="I25" s="24" t="s">
        <v>49</v>
      </c>
      <c r="J25" s="78">
        <f>$C$16</f>
        <v>3</v>
      </c>
      <c r="K25" s="35" t="s">
        <v>43</v>
      </c>
      <c r="M25" s="304" t="s">
        <v>88</v>
      </c>
      <c r="N25" s="305"/>
      <c r="O25" s="306"/>
      <c r="P25" s="42"/>
      <c r="R25" s="1"/>
    </row>
    <row r="26" spans="1:18" ht="45.75" thickBot="1" x14ac:dyDescent="0.3">
      <c r="E26" s="34" t="str">
        <f>IF(E22&gt;=H13,"OK","KO")</f>
        <v>OK</v>
      </c>
      <c r="G26" s="34" t="str">
        <f>IF(G24&gt;=G13,"OK","KO")</f>
        <v>OK</v>
      </c>
      <c r="I26" s="24" t="s">
        <v>63</v>
      </c>
      <c r="J26" s="63">
        <f>$P$9-$Q$9</f>
        <v>25</v>
      </c>
      <c r="K26" s="35" t="s">
        <v>43</v>
      </c>
      <c r="M26" s="88" t="s">
        <v>85</v>
      </c>
      <c r="N26" s="54">
        <f>J30+E22</f>
        <v>260.03519230769228</v>
      </c>
      <c r="O26" s="35" t="s">
        <v>43</v>
      </c>
    </row>
    <row r="27" spans="1:18" ht="51" customHeight="1" thickBot="1" x14ac:dyDescent="0.3">
      <c r="I27" s="24" t="s">
        <v>52</v>
      </c>
      <c r="J27" s="78">
        <f>$F$3</f>
        <v>0</v>
      </c>
      <c r="K27" s="35" t="s">
        <v>43</v>
      </c>
      <c r="M27" s="95" t="s">
        <v>89</v>
      </c>
      <c r="N27" s="54">
        <f>D30+J28+P9+J27+J25+J23</f>
        <v>277.5</v>
      </c>
      <c r="O27" s="35" t="s">
        <v>43</v>
      </c>
    </row>
    <row r="28" spans="1:18" ht="46.15" customHeight="1" thickBot="1" x14ac:dyDescent="0.3">
      <c r="A28" s="321" t="s">
        <v>96</v>
      </c>
      <c r="B28" s="322"/>
      <c r="C28" s="322"/>
      <c r="D28" s="322"/>
      <c r="E28" s="322"/>
      <c r="F28" s="322"/>
      <c r="G28" s="323"/>
      <c r="I28" s="36" t="s">
        <v>48</v>
      </c>
      <c r="J28" s="79">
        <f>$C$15</f>
        <v>13</v>
      </c>
      <c r="K28" s="38" t="s">
        <v>43</v>
      </c>
      <c r="M28" s="88" t="s">
        <v>86</v>
      </c>
      <c r="N28" s="54">
        <f>N26-N23</f>
        <v>243.03519230769228</v>
      </c>
      <c r="O28" s="35" t="s">
        <v>43</v>
      </c>
    </row>
    <row r="29" spans="1:18" ht="45.75" thickBot="1" x14ac:dyDescent="0.3">
      <c r="A29" s="116" t="s">
        <v>87</v>
      </c>
      <c r="B29" s="117" t="s">
        <v>32</v>
      </c>
      <c r="C29" s="117" t="s">
        <v>28</v>
      </c>
      <c r="D29" s="117" t="s">
        <v>29</v>
      </c>
      <c r="E29" s="117" t="s">
        <v>31</v>
      </c>
      <c r="F29" s="117" t="s">
        <v>36</v>
      </c>
      <c r="G29" s="118" t="s">
        <v>38</v>
      </c>
      <c r="M29" s="89" t="s">
        <v>90</v>
      </c>
      <c r="N29" s="55">
        <f>N27-(J31+H13)</f>
        <v>-45</v>
      </c>
      <c r="O29" s="38" t="s">
        <v>43</v>
      </c>
    </row>
    <row r="30" spans="1:18" ht="45.75" thickBot="1" x14ac:dyDescent="0.3">
      <c r="A30" s="119">
        <v>112</v>
      </c>
      <c r="B30" s="120">
        <f>VLOOKUP($A30,'rear spring'!$B$11:$M$166,2)</f>
        <v>60110115</v>
      </c>
      <c r="C30" s="120">
        <f>VLOOKUP($A30,'rear spring'!$B$11:$M$166,6)</f>
        <v>130</v>
      </c>
      <c r="D30" s="120">
        <f>VLOOKUP($A30,'rear spring'!$B$11:$M$166,3)</f>
        <v>170</v>
      </c>
      <c r="E30" s="120">
        <f>VLOOKUP($A30,'rear spring'!$B$11:$M$166,5)</f>
        <v>88</v>
      </c>
      <c r="F30" s="121">
        <f>VLOOKUP($A30,'rear spring'!$B$11:$M$166,7)</f>
        <v>37.164807692307697</v>
      </c>
      <c r="G30" s="122">
        <f>VLOOKUP($A30,'rear spring'!$B$11:$M$166,11)</f>
        <v>132.8351923076923</v>
      </c>
      <c r="H30" s="1"/>
      <c r="I30" s="19" t="s">
        <v>81</v>
      </c>
      <c r="J30" s="112">
        <f>SUM(J23:J28)</f>
        <v>185.3351923076923</v>
      </c>
      <c r="K30" s="113" t="s">
        <v>43</v>
      </c>
      <c r="M30" s="10"/>
      <c r="N30" s="1" t="s">
        <v>22</v>
      </c>
      <c r="P30" t="s">
        <v>21</v>
      </c>
      <c r="Q30" t="s">
        <v>115</v>
      </c>
    </row>
    <row r="31" spans="1:18" ht="43.15" customHeight="1" x14ac:dyDescent="0.25">
      <c r="A31" s="123">
        <v>116</v>
      </c>
      <c r="B31" s="57">
        <f>VLOOKUP($A31,'rear spring'!$B$11:$M$166,2)</f>
        <v>60110145</v>
      </c>
      <c r="C31" s="57">
        <f>VLOOKUP($A31,'rear spring'!$B$11:$M$166,6)</f>
        <v>140</v>
      </c>
      <c r="D31" s="57">
        <f>VLOOKUP($A31,'rear spring'!$B$11:$M$166,3)</f>
        <v>200</v>
      </c>
      <c r="E31" s="57">
        <f>VLOOKUP($A31,'rear spring'!$B$11:$M$166,5)</f>
        <v>92</v>
      </c>
      <c r="F31" s="58">
        <f>VLOOKUP($A31,'rear spring'!$B$11:$M$166,7)</f>
        <v>34.510178571428575</v>
      </c>
      <c r="G31" s="124">
        <f>VLOOKUP($A31,'rear spring'!$B$11:$M$166,11)</f>
        <v>165.48982142857142</v>
      </c>
      <c r="I31" s="114" t="s">
        <v>84</v>
      </c>
      <c r="J31" s="111">
        <f>$F$23-$C$12-$C$13-$C$14</f>
        <v>264.8</v>
      </c>
      <c r="K31" s="17" t="s">
        <v>43</v>
      </c>
      <c r="M31" s="132" t="s">
        <v>116</v>
      </c>
      <c r="N31" s="133">
        <f>E22</f>
        <v>74.699999999999989</v>
      </c>
      <c r="O31" s="134"/>
      <c r="P31" s="133">
        <f>G24</f>
        <v>75.300000000000011</v>
      </c>
      <c r="Q31" s="135">
        <f>P31+N31</f>
        <v>150</v>
      </c>
    </row>
    <row r="32" spans="1:18" ht="60" x14ac:dyDescent="0.25">
      <c r="A32" s="123">
        <v>118</v>
      </c>
      <c r="B32" s="57">
        <f>VLOOKUP($A32,'rear spring'!$B$11:$M$166,2)</f>
        <v>60110116</v>
      </c>
      <c r="C32" s="57">
        <f>VLOOKUP($A32,'rear spring'!$B$11:$M$166,6)</f>
        <v>150</v>
      </c>
      <c r="D32" s="57">
        <f>VLOOKUP($A32,'rear spring'!$B$11:$M$166,3)</f>
        <v>170</v>
      </c>
      <c r="E32" s="57">
        <f>VLOOKUP($A32,'rear spring'!$B$11:$M$166,5)</f>
        <v>85</v>
      </c>
      <c r="F32" s="58">
        <f>VLOOKUP($A32,'rear spring'!$B$11:$M$166,7)</f>
        <v>32.209499999999998</v>
      </c>
      <c r="G32" s="124">
        <f>VLOOKUP($A32,'rear spring'!$B$11:$M$166,11)</f>
        <v>137.79050000000001</v>
      </c>
      <c r="I32" s="115" t="s">
        <v>98</v>
      </c>
      <c r="J32" s="111">
        <f>J31-J30</f>
        <v>79.464807692307716</v>
      </c>
      <c r="K32" s="17" t="s">
        <v>43</v>
      </c>
      <c r="M32" s="86" t="s">
        <v>117</v>
      </c>
      <c r="N32" s="136">
        <f>F30</f>
        <v>37.164807692307697</v>
      </c>
      <c r="O32" s="3"/>
      <c r="P32" s="136">
        <f>E30-F30</f>
        <v>50.835192307692303</v>
      </c>
      <c r="Q32" s="137">
        <f>P32+N32</f>
        <v>88</v>
      </c>
      <c r="R32" t="s">
        <v>82</v>
      </c>
    </row>
    <row r="33" spans="1:17" ht="45" x14ac:dyDescent="0.25">
      <c r="A33" s="123">
        <v>123</v>
      </c>
      <c r="B33" s="57">
        <f>VLOOKUP($A33,'rear spring'!$B$11:$M$166,2)</f>
        <v>60110114</v>
      </c>
      <c r="C33" s="57">
        <f>VLOOKUP($A33,'rear spring'!$B$11:$M$166,6)</f>
        <v>170</v>
      </c>
      <c r="D33" s="57">
        <f>VLOOKUP($A33,'rear spring'!$B$11:$M$166,3)</f>
        <v>170</v>
      </c>
      <c r="E33" s="57">
        <f>VLOOKUP($A33,'rear spring'!$B$11:$M$166,5)</f>
        <v>82</v>
      </c>
      <c r="F33" s="58">
        <f>VLOOKUP($A33,'rear spring'!$B$11:$M$166,7)</f>
        <v>28.420147058823531</v>
      </c>
      <c r="G33" s="124">
        <f>VLOOKUP($A33,'rear spring'!$B$11:$M$166,11)</f>
        <v>141.57985294117645</v>
      </c>
      <c r="I33" s="115" t="s">
        <v>99</v>
      </c>
      <c r="J33" s="58">
        <f>C30*J32</f>
        <v>10330.425000000003</v>
      </c>
      <c r="K33" s="17" t="s">
        <v>41</v>
      </c>
      <c r="M33" s="138" t="s">
        <v>118</v>
      </c>
      <c r="N33" s="139">
        <f>N32*N35</f>
        <v>37.164807692307697</v>
      </c>
      <c r="O33" s="3" t="str">
        <f>IF(N33&lt;=45,"KO","OK")</f>
        <v>KO</v>
      </c>
      <c r="P33" s="140">
        <f>P32*N35</f>
        <v>50.835192307692303</v>
      </c>
      <c r="Q33" s="141" t="str">
        <f>IF(P33&lt;=55,"KO","OK")</f>
        <v>KO</v>
      </c>
    </row>
    <row r="34" spans="1:17" ht="60.75" thickBot="1" x14ac:dyDescent="0.3">
      <c r="A34" s="93">
        <v>128</v>
      </c>
      <c r="B34" s="59">
        <f>VLOOKUP($A34,'rear spring'!$B$11:$M$166,2)</f>
        <v>60110117</v>
      </c>
      <c r="C34" s="59">
        <f>VLOOKUP($A34,'rear spring'!$B$11:$M$166,6)</f>
        <v>190</v>
      </c>
      <c r="D34" s="59">
        <f>VLOOKUP($A34,'rear spring'!$B$11:$M$166,3)</f>
        <v>170</v>
      </c>
      <c r="E34" s="59">
        <f>VLOOKUP($A34,'rear spring'!$B$11:$M$166,5)</f>
        <v>78</v>
      </c>
      <c r="F34" s="60">
        <f>VLOOKUP($A34,'rear spring'!$B$11:$M$166,7)</f>
        <v>25.428552631578949</v>
      </c>
      <c r="G34" s="94">
        <f>VLOOKUP($A34,'rear spring'!$B$11:$M$166,11)</f>
        <v>144.57144736842105</v>
      </c>
      <c r="I34" s="86" t="s">
        <v>100</v>
      </c>
      <c r="J34" s="111">
        <f>D23-C14-J32-C15-F3-F4</f>
        <v>97.035192307692284</v>
      </c>
      <c r="K34" s="17" t="s">
        <v>43</v>
      </c>
      <c r="M34" s="86" t="s">
        <v>119</v>
      </c>
      <c r="N34" s="142">
        <f>N35*N31</f>
        <v>74.699999999999989</v>
      </c>
      <c r="O34" s="3"/>
      <c r="P34" s="3">
        <f>N35*P31</f>
        <v>75.300000000000011</v>
      </c>
      <c r="Q34" s="35"/>
    </row>
    <row r="35" spans="1:17" ht="45.75" thickBot="1" x14ac:dyDescent="0.3">
      <c r="I35" s="125" t="s">
        <v>100</v>
      </c>
      <c r="J35" s="59">
        <f>C30*J34</f>
        <v>12614.574999999997</v>
      </c>
      <c r="K35" s="18" t="s">
        <v>41</v>
      </c>
      <c r="M35" s="125" t="s">
        <v>120</v>
      </c>
      <c r="N35" s="143">
        <f>'rear motion ratio'!C15</f>
        <v>1</v>
      </c>
      <c r="O35" s="37"/>
      <c r="P35" s="37"/>
      <c r="Q35" s="38"/>
    </row>
    <row r="36" spans="1:17" x14ac:dyDescent="0.25">
      <c r="A36" s="310"/>
      <c r="B36" s="310"/>
      <c r="C36" s="310"/>
    </row>
    <row r="37" spans="1:17" x14ac:dyDescent="0.25">
      <c r="M37" s="144"/>
    </row>
    <row r="38" spans="1:17" x14ac:dyDescent="0.25">
      <c r="M38" s="144"/>
    </row>
    <row r="39" spans="1:17" x14ac:dyDescent="0.25">
      <c r="M39" s="144"/>
    </row>
    <row r="45" spans="1:17" x14ac:dyDescent="0.25">
      <c r="N45" s="1"/>
    </row>
    <row r="46" spans="1:17" x14ac:dyDescent="0.25">
      <c r="N46" s="41"/>
    </row>
  </sheetData>
  <dataConsolidate/>
  <mergeCells count="19">
    <mergeCell ref="E2:G2"/>
    <mergeCell ref="E6:G6"/>
    <mergeCell ref="O2:R2"/>
    <mergeCell ref="O3:R3"/>
    <mergeCell ref="O7:R7"/>
    <mergeCell ref="A36:C36"/>
    <mergeCell ref="M25:O25"/>
    <mergeCell ref="A28:G28"/>
    <mergeCell ref="B11:C11"/>
    <mergeCell ref="E22:E25"/>
    <mergeCell ref="F23:F25"/>
    <mergeCell ref="G24:G25"/>
    <mergeCell ref="F21:F22"/>
    <mergeCell ref="G21:G23"/>
    <mergeCell ref="I21:K21"/>
    <mergeCell ref="I22:K22"/>
    <mergeCell ref="O14:R14"/>
    <mergeCell ref="F11:H11"/>
    <mergeCell ref="M21:O21"/>
  </mergeCells>
  <conditionalFormatting sqref="E26:G26">
    <cfRule type="cellIs" dxfId="10" priority="10" operator="equal">
      <formula>"OK"</formula>
    </cfRule>
    <cfRule type="cellIs" dxfId="9" priority="11" operator="equal">
      <formula>"KO"</formula>
    </cfRule>
  </conditionalFormatting>
  <conditionalFormatting sqref="J30">
    <cfRule type="expression" dxfId="8" priority="7">
      <formula>IF($J$30&lt;=$J$31,TRUE(),)</formula>
    </cfRule>
    <cfRule type="expression" dxfId="7" priority="9">
      <formula>IF($J$30&gt;$J$31,TRUE(),)</formula>
    </cfRule>
  </conditionalFormatting>
  <conditionalFormatting sqref="N27:N28">
    <cfRule type="expression" dxfId="6" priority="5">
      <formula>IF($N$27&lt;=$N$28,TRUE(),)</formula>
    </cfRule>
    <cfRule type="expression" dxfId="5" priority="6">
      <formula>IF($N$27&gt;$N$28,TRUE(),)</formula>
    </cfRule>
  </conditionalFormatting>
  <conditionalFormatting sqref="J32">
    <cfRule type="cellIs" dxfId="4" priority="3" operator="lessThan">
      <formula>5</formula>
    </cfRule>
    <cfRule type="cellIs" dxfId="3" priority="4" operator="greaterThanOrEqual">
      <formula>5</formula>
    </cfRule>
  </conditionalFormatting>
  <conditionalFormatting sqref="J34">
    <cfRule type="cellIs" dxfId="2" priority="1" operator="lessThan">
      <formula>$J$26+$C$16</formula>
    </cfRule>
    <cfRule type="cellIs" dxfId="1" priority="2" operator="greaterThanOrEqual">
      <formula>$J$26+$C$16</formula>
    </cfRule>
  </conditionalFormatting>
  <dataValidations count="1">
    <dataValidation type="list" allowBlank="1" showInputMessage="1" showErrorMessage="1" sqref="D23" xr:uid="{00000000-0002-0000-0700-000000000000}">
      <formula1>$B$3:$B$9</formula1>
    </dataValidation>
  </dataValidations>
  <pageMargins left="0.7" right="0.7" top="0.75" bottom="0.75" header="0.3" footer="0.3"/>
  <pageSetup paperSize="9" scale="55" orientation="landscape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700-000001000000}">
          <x14:formula1>
            <xm:f>'rear spring'!$B$11:$B$166</xm:f>
          </x14:formula1>
          <xm:sqref>A30:A34</xm:sqref>
        </x14:dataValidation>
        <x14:dataValidation type="list" allowBlank="1" showInputMessage="1" showErrorMessage="1" xr:uid="{00000000-0002-0000-0700-000002000000}">
          <x14:formula1>
            <xm:f>'wheel travel'!#REF!</xm:f>
          </x14:formula1>
          <xm:sqref>E12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72235-7101-47C8-9E48-6A0FD409019E}">
  <sheetPr>
    <tabColor rgb="FF00B050"/>
  </sheetPr>
  <dimension ref="B1:F45"/>
  <sheetViews>
    <sheetView tabSelected="1" zoomScaleNormal="100" workbookViewId="0"/>
  </sheetViews>
  <sheetFormatPr defaultRowHeight="15" x14ac:dyDescent="0.25"/>
  <cols>
    <col min="1" max="1" width="3.7109375" customWidth="1"/>
    <col min="2" max="2" width="31.42578125" bestFit="1" customWidth="1"/>
    <col min="3" max="3" width="8.85546875" customWidth="1"/>
    <col min="4" max="4" width="11" bestFit="1" customWidth="1"/>
    <col min="5" max="5" width="29.42578125" bestFit="1" customWidth="1"/>
    <col min="6" max="6" width="13.140625" bestFit="1" customWidth="1"/>
    <col min="7" max="7" width="11" bestFit="1" customWidth="1"/>
  </cols>
  <sheetData>
    <row r="1" spans="2:6" ht="15.75" thickBot="1" x14ac:dyDescent="0.3"/>
    <row r="2" spans="2:6" ht="15.75" thickBot="1" x14ac:dyDescent="0.3">
      <c r="B2" s="298" t="s">
        <v>249</v>
      </c>
      <c r="C2" s="299"/>
      <c r="D2" s="300"/>
      <c r="F2" s="271" t="s">
        <v>250</v>
      </c>
    </row>
    <row r="3" spans="2:6" x14ac:dyDescent="0.25">
      <c r="B3" s="237" t="s">
        <v>194</v>
      </c>
      <c r="C3" s="238">
        <v>2250</v>
      </c>
      <c r="D3" s="148" t="s">
        <v>1</v>
      </c>
    </row>
    <row r="4" spans="2:6" x14ac:dyDescent="0.25">
      <c r="B4" s="2" t="s">
        <v>195</v>
      </c>
      <c r="C4" s="247">
        <v>0.5</v>
      </c>
      <c r="D4" s="149" t="s">
        <v>200</v>
      </c>
    </row>
    <row r="5" spans="2:6" x14ac:dyDescent="0.25">
      <c r="B5" s="2" t="s">
        <v>187</v>
      </c>
      <c r="C5" s="152">
        <v>500</v>
      </c>
      <c r="D5" s="149" t="s">
        <v>43</v>
      </c>
    </row>
    <row r="6" spans="2:6" x14ac:dyDescent="0.25">
      <c r="B6" s="2" t="s">
        <v>186</v>
      </c>
      <c r="C6" s="152">
        <v>140</v>
      </c>
      <c r="D6" s="149" t="s">
        <v>43</v>
      </c>
    </row>
    <row r="7" spans="2:6" x14ac:dyDescent="0.25">
      <c r="B7" s="2" t="s">
        <v>188</v>
      </c>
      <c r="C7" s="152">
        <v>140</v>
      </c>
      <c r="D7" s="149" t="s">
        <v>43</v>
      </c>
    </row>
    <row r="8" spans="2:6" x14ac:dyDescent="0.25">
      <c r="B8" s="2" t="s">
        <v>190</v>
      </c>
      <c r="C8" s="156">
        <f>$C$5-C6</f>
        <v>360</v>
      </c>
      <c r="D8" s="149" t="s">
        <v>43</v>
      </c>
    </row>
    <row r="9" spans="2:6" x14ac:dyDescent="0.25">
      <c r="B9" s="2" t="s">
        <v>189</v>
      </c>
      <c r="C9" s="156">
        <f>$C$5-C7</f>
        <v>360</v>
      </c>
      <c r="D9" s="149" t="s">
        <v>43</v>
      </c>
    </row>
    <row r="10" spans="2:6" x14ac:dyDescent="0.25">
      <c r="B10" s="240" t="s">
        <v>208</v>
      </c>
      <c r="C10" s="241">
        <f>C3*C4*C8/1000*9.81</f>
        <v>3973.05</v>
      </c>
      <c r="D10" s="248" t="s">
        <v>193</v>
      </c>
      <c r="F10" s="1">
        <f>C10+C11</f>
        <v>7946.1</v>
      </c>
    </row>
    <row r="11" spans="2:6" x14ac:dyDescent="0.25">
      <c r="B11" s="240" t="s">
        <v>207</v>
      </c>
      <c r="C11" s="241">
        <f>C3*(1-C4)*C9/1000*9.81</f>
        <v>3973.05</v>
      </c>
      <c r="D11" s="248" t="s">
        <v>193</v>
      </c>
    </row>
    <row r="12" spans="2:6" x14ac:dyDescent="0.25">
      <c r="B12" s="249" t="s">
        <v>206</v>
      </c>
      <c r="C12" s="250">
        <f>C10/(C10+C11)</f>
        <v>0.5</v>
      </c>
      <c r="D12" s="251" t="s">
        <v>200</v>
      </c>
    </row>
    <row r="13" spans="2:6" x14ac:dyDescent="0.25">
      <c r="B13" s="2"/>
      <c r="D13" s="149"/>
    </row>
    <row r="14" spans="2:6" x14ac:dyDescent="0.25">
      <c r="B14" s="2" t="s">
        <v>204</v>
      </c>
      <c r="C14" s="152">
        <v>1890</v>
      </c>
      <c r="D14" s="149" t="s">
        <v>43</v>
      </c>
    </row>
    <row r="15" spans="2:6" x14ac:dyDescent="0.25">
      <c r="B15" s="2" t="s">
        <v>205</v>
      </c>
      <c r="C15" s="152">
        <v>1890</v>
      </c>
      <c r="D15" s="149" t="s">
        <v>43</v>
      </c>
    </row>
    <row r="16" spans="2:6" x14ac:dyDescent="0.25">
      <c r="B16" s="2" t="s">
        <v>202</v>
      </c>
      <c r="C16" s="354">
        <v>55</v>
      </c>
      <c r="D16" s="149" t="s">
        <v>12</v>
      </c>
    </row>
    <row r="17" spans="2:6" x14ac:dyDescent="0.25">
      <c r="B17" s="2" t="s">
        <v>203</v>
      </c>
      <c r="C17" s="354">
        <v>55</v>
      </c>
      <c r="D17" s="149" t="s">
        <v>12</v>
      </c>
    </row>
    <row r="18" spans="2:6" x14ac:dyDescent="0.25">
      <c r="B18" s="2" t="s">
        <v>196</v>
      </c>
      <c r="C18" s="243">
        <f>'front motion ratio'!C15</f>
        <v>1</v>
      </c>
      <c r="D18" s="149" t="s">
        <v>191</v>
      </c>
      <c r="E18" s="1"/>
    </row>
    <row r="19" spans="2:6" x14ac:dyDescent="0.25">
      <c r="B19" s="2" t="s">
        <v>197</v>
      </c>
      <c r="C19" s="243">
        <f>'rear motion ratio'!C15</f>
        <v>1</v>
      </c>
      <c r="D19" s="149" t="s">
        <v>191</v>
      </c>
      <c r="E19" s="1"/>
    </row>
    <row r="20" spans="2:6" x14ac:dyDescent="0.25">
      <c r="B20" s="2" t="s">
        <v>251</v>
      </c>
      <c r="C20" s="156">
        <f>C16</f>
        <v>55</v>
      </c>
      <c r="D20" s="149" t="s">
        <v>12</v>
      </c>
    </row>
    <row r="21" spans="2:6" x14ac:dyDescent="0.25">
      <c r="B21" s="2" t="s">
        <v>252</v>
      </c>
      <c r="C21" s="156">
        <f>C17</f>
        <v>55</v>
      </c>
      <c r="D21" s="149" t="s">
        <v>12</v>
      </c>
    </row>
    <row r="22" spans="2:6" x14ac:dyDescent="0.25">
      <c r="B22" s="2" t="s">
        <v>198</v>
      </c>
      <c r="C22" s="156">
        <f>TAN(1/57.325)*C14</f>
        <v>32.973253148157504</v>
      </c>
      <c r="D22" s="149" t="s">
        <v>201</v>
      </c>
    </row>
    <row r="23" spans="2:6" x14ac:dyDescent="0.25">
      <c r="B23" s="2" t="s">
        <v>199</v>
      </c>
      <c r="C23" s="156">
        <f>TAN(1/57.325)*C15</f>
        <v>32.973253148157504</v>
      </c>
      <c r="D23" s="149" t="s">
        <v>201</v>
      </c>
      <c r="F23">
        <f>C23/2</f>
        <v>16.486626574078752</v>
      </c>
    </row>
    <row r="24" spans="2:6" x14ac:dyDescent="0.25">
      <c r="B24" s="273" t="s">
        <v>226</v>
      </c>
      <c r="C24" s="156">
        <f>C22*C20</f>
        <v>1813.5289231486627</v>
      </c>
      <c r="D24" s="149" t="s">
        <v>209</v>
      </c>
    </row>
    <row r="25" spans="2:6" x14ac:dyDescent="0.25">
      <c r="B25" s="273" t="s">
        <v>227</v>
      </c>
      <c r="C25" s="156">
        <f>C23*C21</f>
        <v>1813.5289231486627</v>
      </c>
      <c r="D25" s="149" t="s">
        <v>209</v>
      </c>
    </row>
    <row r="26" spans="2:6" x14ac:dyDescent="0.25">
      <c r="B26" s="44" t="s">
        <v>215</v>
      </c>
      <c r="C26" s="242">
        <f>C24/(C24+C25)</f>
        <v>0.5</v>
      </c>
      <c r="D26" s="244" t="s">
        <v>200</v>
      </c>
    </row>
    <row r="27" spans="2:6" x14ac:dyDescent="0.25">
      <c r="B27" s="272" t="s">
        <v>210</v>
      </c>
      <c r="C27" s="156">
        <f>C24*C14/2/1000</f>
        <v>1713.7848323754861</v>
      </c>
      <c r="D27" s="149" t="s">
        <v>192</v>
      </c>
    </row>
    <row r="28" spans="2:6" x14ac:dyDescent="0.25">
      <c r="B28" s="272" t="s">
        <v>211</v>
      </c>
      <c r="C28" s="156">
        <f>C25*C15/2/1000</f>
        <v>1713.7848323754861</v>
      </c>
      <c r="D28" s="149" t="s">
        <v>192</v>
      </c>
    </row>
    <row r="29" spans="2:6" x14ac:dyDescent="0.25">
      <c r="B29" s="44" t="s">
        <v>214</v>
      </c>
      <c r="C29" s="242">
        <f>C27/(C27+C28)</f>
        <v>0.5</v>
      </c>
      <c r="D29" s="244" t="s">
        <v>200</v>
      </c>
    </row>
    <row r="30" spans="2:6" x14ac:dyDescent="0.25">
      <c r="B30" s="44" t="s">
        <v>216</v>
      </c>
      <c r="C30" s="246">
        <f>(C10+C11)/(C27+C28)</f>
        <v>2.3182898605147151</v>
      </c>
      <c r="D30" s="244" t="s">
        <v>217</v>
      </c>
    </row>
    <row r="31" spans="2:6" x14ac:dyDescent="0.25">
      <c r="B31" s="2"/>
      <c r="D31" s="239"/>
    </row>
    <row r="32" spans="2:6" x14ac:dyDescent="0.25">
      <c r="B32" s="2" t="s">
        <v>218</v>
      </c>
      <c r="C32" s="152">
        <v>500</v>
      </c>
      <c r="D32" s="149" t="s">
        <v>192</v>
      </c>
    </row>
    <row r="33" spans="2:5" x14ac:dyDescent="0.25">
      <c r="B33" s="2" t="s">
        <v>219</v>
      </c>
      <c r="C33" s="152">
        <v>500</v>
      </c>
      <c r="D33" s="149" t="s">
        <v>192</v>
      </c>
    </row>
    <row r="34" spans="2:5" x14ac:dyDescent="0.25">
      <c r="B34" s="2" t="s">
        <v>220</v>
      </c>
      <c r="C34" s="156">
        <f>C27+C32</f>
        <v>2213.7848323754861</v>
      </c>
      <c r="D34" s="149" t="s">
        <v>192</v>
      </c>
    </row>
    <row r="35" spans="2:5" x14ac:dyDescent="0.25">
      <c r="B35" s="2" t="s">
        <v>221</v>
      </c>
      <c r="C35" s="156">
        <f>C28+C33</f>
        <v>2213.7848323754861</v>
      </c>
      <c r="D35" s="149" t="s">
        <v>192</v>
      </c>
    </row>
    <row r="36" spans="2:5" x14ac:dyDescent="0.25">
      <c r="B36" s="44" t="s">
        <v>222</v>
      </c>
      <c r="C36" s="242">
        <f>(C27+C32)/(C27+C32+C28+C33)</f>
        <v>0.5</v>
      </c>
      <c r="D36" s="244" t="s">
        <v>200</v>
      </c>
      <c r="E36" t="s">
        <v>262</v>
      </c>
    </row>
    <row r="37" spans="2:5" x14ac:dyDescent="0.25">
      <c r="B37" s="44" t="s">
        <v>216</v>
      </c>
      <c r="C37" s="297">
        <f>(C10+C11)/(C27+C28+C32+C33)</f>
        <v>1.7946866117682934</v>
      </c>
      <c r="D37" s="244" t="s">
        <v>217</v>
      </c>
    </row>
    <row r="38" spans="2:5" x14ac:dyDescent="0.25">
      <c r="B38" s="2"/>
      <c r="D38" s="239"/>
    </row>
    <row r="39" spans="2:5" x14ac:dyDescent="0.25">
      <c r="B39" s="2" t="s">
        <v>212</v>
      </c>
      <c r="C39" s="156">
        <f>C3*9.81/C14*((C8*C27)/(C27+C28)+C4*C6)</f>
        <v>2919.6428571428573</v>
      </c>
      <c r="D39" s="149" t="s">
        <v>223</v>
      </c>
    </row>
    <row r="40" spans="2:5" x14ac:dyDescent="0.25">
      <c r="B40" s="2" t="s">
        <v>213</v>
      </c>
      <c r="C40" s="156">
        <f>C3*9.81/C15*((C9*C28)/(C27+C28)+(1-C4)*C7)</f>
        <v>2919.6428571428573</v>
      </c>
      <c r="D40" s="149" t="s">
        <v>223</v>
      </c>
    </row>
    <row r="41" spans="2:5" x14ac:dyDescent="0.25">
      <c r="B41" s="44" t="s">
        <v>224</v>
      </c>
      <c r="C41" s="242">
        <f>C39/(C39+C40)</f>
        <v>0.5</v>
      </c>
      <c r="D41" s="244" t="s">
        <v>200</v>
      </c>
    </row>
    <row r="42" spans="2:5" x14ac:dyDescent="0.25">
      <c r="B42" s="2"/>
      <c r="D42" s="239"/>
    </row>
    <row r="43" spans="2:5" x14ac:dyDescent="0.25">
      <c r="B43" s="2" t="s">
        <v>212</v>
      </c>
      <c r="C43" s="156">
        <f>C3*9.81/C14*((C8*C34)/(C34+C35)+(C4)*C6)</f>
        <v>2919.6428571428573</v>
      </c>
      <c r="D43" s="149" t="s">
        <v>223</v>
      </c>
    </row>
    <row r="44" spans="2:5" x14ac:dyDescent="0.25">
      <c r="B44" s="2" t="s">
        <v>213</v>
      </c>
      <c r="C44" s="156">
        <f>C3*9.81/C15*((C9*C35)/(C34+C35)+(1-C4)*C7)</f>
        <v>2919.6428571428573</v>
      </c>
      <c r="D44" s="149" t="s">
        <v>223</v>
      </c>
    </row>
    <row r="45" spans="2:5" ht="15.75" thickBot="1" x14ac:dyDescent="0.3">
      <c r="B45" s="45" t="s">
        <v>225</v>
      </c>
      <c r="C45" s="252">
        <f>C43/(C43+C44)</f>
        <v>0.5</v>
      </c>
      <c r="D45" s="245" t="s">
        <v>200</v>
      </c>
    </row>
  </sheetData>
  <mergeCells count="1">
    <mergeCell ref="B2:D2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20A5A-2035-4B1E-8376-5DAFB6FB8FD1}">
  <sheetPr>
    <tabColor rgb="FF00B050"/>
  </sheetPr>
  <dimension ref="B2:M26"/>
  <sheetViews>
    <sheetView workbookViewId="0"/>
  </sheetViews>
  <sheetFormatPr defaultRowHeight="15" x14ac:dyDescent="0.25"/>
  <cols>
    <col min="1" max="1" width="3.42578125" customWidth="1"/>
    <col min="4" max="4" width="4.7109375" customWidth="1"/>
    <col min="7" max="7" width="12" customWidth="1"/>
    <col min="8" max="8" width="11.28515625" customWidth="1"/>
    <col min="9" max="9" width="12.28515625" customWidth="1"/>
    <col min="10" max="10" width="11.42578125" customWidth="1"/>
    <col min="12" max="12" width="15.42578125" customWidth="1"/>
    <col min="13" max="13" width="13.42578125" customWidth="1"/>
  </cols>
  <sheetData>
    <row r="2" spans="2:13" x14ac:dyDescent="0.25">
      <c r="B2" s="142" t="s">
        <v>229</v>
      </c>
      <c r="C2" s="262">
        <f>'Roll Stiffness'!C3</f>
        <v>2250</v>
      </c>
      <c r="E2" s="142" t="s">
        <v>230</v>
      </c>
      <c r="F2" s="142" t="s">
        <v>231</v>
      </c>
      <c r="G2" s="253" t="s">
        <v>232</v>
      </c>
      <c r="H2" s="253" t="s">
        <v>233</v>
      </c>
      <c r="I2" s="253" t="s">
        <v>234</v>
      </c>
      <c r="J2" s="253" t="s">
        <v>235</v>
      </c>
      <c r="K2" s="253" t="s">
        <v>236</v>
      </c>
      <c r="L2" s="142" t="s">
        <v>237</v>
      </c>
      <c r="M2" s="142" t="s">
        <v>238</v>
      </c>
    </row>
    <row r="3" spans="2:13" x14ac:dyDescent="0.25">
      <c r="B3" s="142" t="s">
        <v>239</v>
      </c>
      <c r="C3" s="263">
        <f>9.81*1.5</f>
        <v>14.715</v>
      </c>
      <c r="E3" s="254">
        <v>0</v>
      </c>
      <c r="F3" s="3">
        <f>1-E3</f>
        <v>1</v>
      </c>
      <c r="G3" s="3">
        <f>$C$10-E3</f>
        <v>0.5</v>
      </c>
      <c r="H3" s="3">
        <f>$C$9-F3</f>
        <v>-0.5</v>
      </c>
      <c r="I3" s="255">
        <f t="shared" ref="I3:I26" si="0">$C$2*$C$3/$C$4*($C$6*E3-$C$7*G3)</f>
        <v>-1226.25</v>
      </c>
      <c r="J3" s="255">
        <f t="shared" ref="J3:J26" si="1">$C$2*$C$3/$C$5*($C$6*F3+$C$8*H3)</f>
        <v>7532.6785714285716</v>
      </c>
      <c r="K3" s="255">
        <f>J3+I3</f>
        <v>6306.4285714285716</v>
      </c>
      <c r="L3" s="254">
        <f>I3/K3</f>
        <v>-0.19444444444444445</v>
      </c>
      <c r="M3" s="256">
        <f>($C$11+I3)/($C$11+I3+$C$12+J3)</f>
        <v>0.24747474747474746</v>
      </c>
    </row>
    <row r="4" spans="2:13" x14ac:dyDescent="0.25">
      <c r="B4" s="142" t="s">
        <v>240</v>
      </c>
      <c r="C4" s="262">
        <f>'Roll Stiffness'!C14</f>
        <v>1890</v>
      </c>
      <c r="E4" s="254">
        <f>E3+0.05</f>
        <v>0.05</v>
      </c>
      <c r="F4" s="3">
        <f t="shared" ref="F4:F26" si="2">1-E4</f>
        <v>0.95</v>
      </c>
      <c r="G4" s="3">
        <f t="shared" ref="G4:G26" si="3">$C$10-E4</f>
        <v>0.45</v>
      </c>
      <c r="H4" s="3">
        <f t="shared" ref="H4:H26" si="4">$C$9-F4</f>
        <v>-0.44999999999999996</v>
      </c>
      <c r="I4" s="255">
        <f t="shared" si="0"/>
        <v>-665.67857142857144</v>
      </c>
      <c r="J4" s="255">
        <f t="shared" si="1"/>
        <v>7217.3571428571422</v>
      </c>
      <c r="K4" s="255">
        <f t="shared" ref="K4:K26" si="5">J4+I4</f>
        <v>6551.6785714285706</v>
      </c>
      <c r="L4" s="254">
        <f t="shared" ref="L4:L26" si="6">I4/K4</f>
        <v>-0.10160427807486633</v>
      </c>
      <c r="M4" s="256">
        <f t="shared" ref="M4:M26" si="7">($C$11+I4)/($C$11+I4+$C$12+J4)</f>
        <v>0.27589641434262951</v>
      </c>
    </row>
    <row r="5" spans="2:13" x14ac:dyDescent="0.25">
      <c r="B5" s="142" t="s">
        <v>241</v>
      </c>
      <c r="C5" s="262">
        <f>'Roll Stiffness'!C15</f>
        <v>1890</v>
      </c>
      <c r="E5" s="254">
        <f t="shared" ref="E5:E25" si="8">E4+0.05</f>
        <v>0.1</v>
      </c>
      <c r="F5" s="3">
        <f t="shared" si="2"/>
        <v>0.9</v>
      </c>
      <c r="G5" s="3">
        <f t="shared" si="3"/>
        <v>0.4</v>
      </c>
      <c r="H5" s="3">
        <f t="shared" si="4"/>
        <v>-0.4</v>
      </c>
      <c r="I5" s="255">
        <f t="shared" si="0"/>
        <v>-105.10714285714286</v>
      </c>
      <c r="J5" s="255">
        <f t="shared" si="1"/>
        <v>6902.0357142857138</v>
      </c>
      <c r="K5" s="255">
        <f t="shared" si="5"/>
        <v>6796.9285714285706</v>
      </c>
      <c r="L5" s="254">
        <f t="shared" si="6"/>
        <v>-1.5463917525773198E-2</v>
      </c>
      <c r="M5" s="256">
        <f t="shared" si="7"/>
        <v>0.30353634577603139</v>
      </c>
    </row>
    <row r="6" spans="2:13" x14ac:dyDescent="0.25">
      <c r="B6" s="142" t="s">
        <v>242</v>
      </c>
      <c r="C6" s="262">
        <f>'Roll Stiffness'!C5</f>
        <v>500</v>
      </c>
      <c r="E6" s="254">
        <f t="shared" si="8"/>
        <v>0.15000000000000002</v>
      </c>
      <c r="F6" s="3">
        <f t="shared" si="2"/>
        <v>0.85</v>
      </c>
      <c r="G6" s="3">
        <f t="shared" si="3"/>
        <v>0.35</v>
      </c>
      <c r="H6" s="3">
        <f t="shared" si="4"/>
        <v>-0.35</v>
      </c>
      <c r="I6" s="255">
        <f t="shared" si="0"/>
        <v>455.46428571428595</v>
      </c>
      <c r="J6" s="255">
        <f t="shared" si="1"/>
        <v>6586.7142857142853</v>
      </c>
      <c r="K6" s="255">
        <f t="shared" si="5"/>
        <v>7042.1785714285716</v>
      </c>
      <c r="L6" s="254">
        <f t="shared" si="6"/>
        <v>6.4676616915422924E-2</v>
      </c>
      <c r="M6" s="256">
        <f t="shared" si="7"/>
        <v>0.33042635658914732</v>
      </c>
    </row>
    <row r="7" spans="2:13" x14ac:dyDescent="0.25">
      <c r="B7" s="142" t="s">
        <v>243</v>
      </c>
      <c r="C7" s="262">
        <f>'Roll Stiffness'!C6</f>
        <v>140</v>
      </c>
      <c r="E7" s="254">
        <f t="shared" si="8"/>
        <v>0.2</v>
      </c>
      <c r="F7" s="3">
        <f t="shared" si="2"/>
        <v>0.8</v>
      </c>
      <c r="G7" s="3">
        <f t="shared" si="3"/>
        <v>0.3</v>
      </c>
      <c r="H7" s="3">
        <f t="shared" si="4"/>
        <v>-0.30000000000000004</v>
      </c>
      <c r="I7" s="255">
        <f t="shared" si="0"/>
        <v>1016.0357142857142</v>
      </c>
      <c r="J7" s="255">
        <f t="shared" si="1"/>
        <v>6271.3928571428569</v>
      </c>
      <c r="K7" s="255">
        <f t="shared" si="5"/>
        <v>7287.4285714285706</v>
      </c>
      <c r="L7" s="254">
        <f t="shared" si="6"/>
        <v>0.13942307692307693</v>
      </c>
      <c r="M7" s="256">
        <f t="shared" si="7"/>
        <v>0.35659655831739956</v>
      </c>
    </row>
    <row r="8" spans="2:13" x14ac:dyDescent="0.25">
      <c r="B8" s="142" t="s">
        <v>244</v>
      </c>
      <c r="C8" s="262">
        <f>'Roll Stiffness'!C7</f>
        <v>140</v>
      </c>
      <c r="E8" s="254">
        <f t="shared" si="8"/>
        <v>0.25</v>
      </c>
      <c r="F8" s="3">
        <f t="shared" si="2"/>
        <v>0.75</v>
      </c>
      <c r="G8" s="3">
        <f t="shared" si="3"/>
        <v>0.25</v>
      </c>
      <c r="H8" s="3">
        <f t="shared" si="4"/>
        <v>-0.25</v>
      </c>
      <c r="I8" s="255">
        <f t="shared" si="0"/>
        <v>1576.6071428571429</v>
      </c>
      <c r="J8" s="255">
        <f t="shared" si="1"/>
        <v>5956.0714285714284</v>
      </c>
      <c r="K8" s="255">
        <f t="shared" si="5"/>
        <v>7532.6785714285716</v>
      </c>
      <c r="L8" s="254">
        <f t="shared" si="6"/>
        <v>0.20930232558139536</v>
      </c>
      <c r="M8" s="256">
        <f t="shared" si="7"/>
        <v>0.38207547169811318</v>
      </c>
    </row>
    <row r="9" spans="2:13" x14ac:dyDescent="0.25">
      <c r="B9" s="142" t="s">
        <v>245</v>
      </c>
      <c r="C9" s="264">
        <f>1-'Roll Stiffness'!C4</f>
        <v>0.5</v>
      </c>
      <c r="E9" s="254">
        <f t="shared" si="8"/>
        <v>0.3</v>
      </c>
      <c r="F9" s="3">
        <f t="shared" si="2"/>
        <v>0.7</v>
      </c>
      <c r="G9" s="3">
        <f t="shared" si="3"/>
        <v>0.2</v>
      </c>
      <c r="H9" s="3">
        <f t="shared" si="4"/>
        <v>-0.19999999999999996</v>
      </c>
      <c r="I9" s="255">
        <f t="shared" si="0"/>
        <v>2137.1785714285716</v>
      </c>
      <c r="J9" s="255">
        <f t="shared" si="1"/>
        <v>5640.75</v>
      </c>
      <c r="K9" s="255">
        <f t="shared" si="5"/>
        <v>7777.9285714285716</v>
      </c>
      <c r="L9" s="254">
        <f t="shared" si="6"/>
        <v>0.2747747747747748</v>
      </c>
      <c r="M9" s="256">
        <f t="shared" si="7"/>
        <v>0.40689013035381749</v>
      </c>
    </row>
    <row r="10" spans="2:13" x14ac:dyDescent="0.25">
      <c r="B10" s="142" t="s">
        <v>228</v>
      </c>
      <c r="C10" s="265">
        <f>'Roll Stiffness'!C4</f>
        <v>0.5</v>
      </c>
      <c r="E10" s="254">
        <f t="shared" si="8"/>
        <v>0.35</v>
      </c>
      <c r="F10" s="3">
        <f t="shared" si="2"/>
        <v>0.65</v>
      </c>
      <c r="G10" s="3">
        <f t="shared" si="3"/>
        <v>0.15000000000000002</v>
      </c>
      <c r="H10" s="3">
        <f t="shared" si="4"/>
        <v>-0.15000000000000002</v>
      </c>
      <c r="I10" s="255">
        <f t="shared" si="0"/>
        <v>2697.75</v>
      </c>
      <c r="J10" s="255">
        <f t="shared" si="1"/>
        <v>5325.4285714285716</v>
      </c>
      <c r="K10" s="255">
        <f t="shared" si="5"/>
        <v>8023.1785714285716</v>
      </c>
      <c r="L10" s="254">
        <f t="shared" si="6"/>
        <v>0.33624454148471616</v>
      </c>
      <c r="M10" s="256">
        <f t="shared" si="7"/>
        <v>0.4310661764705882</v>
      </c>
    </row>
    <row r="11" spans="2:13" x14ac:dyDescent="0.25">
      <c r="B11" s="142" t="s">
        <v>246</v>
      </c>
      <c r="C11" s="266">
        <f>C2*9.81*C10/2</f>
        <v>5518.125</v>
      </c>
      <c r="E11" s="254">
        <v>0.37</v>
      </c>
      <c r="F11" s="3">
        <f t="shared" si="2"/>
        <v>0.63</v>
      </c>
      <c r="G11" s="3">
        <f t="shared" si="3"/>
        <v>0.13</v>
      </c>
      <c r="H11" s="3">
        <f t="shared" si="4"/>
        <v>-0.13</v>
      </c>
      <c r="I11" s="255">
        <f t="shared" si="0"/>
        <v>2921.9785714285717</v>
      </c>
      <c r="J11" s="255">
        <f t="shared" si="1"/>
        <v>5199.3</v>
      </c>
      <c r="K11" s="255">
        <f t="shared" si="5"/>
        <v>8121.2785714285719</v>
      </c>
      <c r="L11" s="254">
        <f t="shared" si="6"/>
        <v>0.35979292493528908</v>
      </c>
      <c r="M11" s="256">
        <f t="shared" si="7"/>
        <v>0.44056327724945138</v>
      </c>
    </row>
    <row r="12" spans="2:13" x14ac:dyDescent="0.25">
      <c r="B12" s="142" t="s">
        <v>247</v>
      </c>
      <c r="C12" s="266">
        <f>C2*9.81*C9/2</f>
        <v>5518.125</v>
      </c>
      <c r="E12" s="254">
        <f>E10+0.05</f>
        <v>0.39999999999999997</v>
      </c>
      <c r="F12" s="3">
        <f t="shared" si="2"/>
        <v>0.60000000000000009</v>
      </c>
      <c r="G12" s="3">
        <f t="shared" si="3"/>
        <v>0.10000000000000003</v>
      </c>
      <c r="H12" s="3">
        <f t="shared" si="4"/>
        <v>-0.10000000000000009</v>
      </c>
      <c r="I12" s="255">
        <f t="shared" si="0"/>
        <v>3258.321428571428</v>
      </c>
      <c r="J12" s="255">
        <f t="shared" si="1"/>
        <v>5010.107142857144</v>
      </c>
      <c r="K12" s="255">
        <f t="shared" si="5"/>
        <v>8268.4285714285725</v>
      </c>
      <c r="L12" s="254">
        <f t="shared" si="6"/>
        <v>0.39406779661016939</v>
      </c>
      <c r="M12" s="256">
        <f t="shared" si="7"/>
        <v>0.45462794918330302</v>
      </c>
    </row>
    <row r="13" spans="2:13" x14ac:dyDescent="0.25">
      <c r="E13" s="254">
        <f>E12+0.05</f>
        <v>0.44999999999999996</v>
      </c>
      <c r="F13" s="3">
        <f t="shared" si="2"/>
        <v>0.55000000000000004</v>
      </c>
      <c r="G13" s="3">
        <f t="shared" si="3"/>
        <v>5.0000000000000044E-2</v>
      </c>
      <c r="H13" s="3">
        <f t="shared" si="4"/>
        <v>-5.0000000000000044E-2</v>
      </c>
      <c r="I13" s="255">
        <f t="shared" si="0"/>
        <v>3818.8928571428564</v>
      </c>
      <c r="J13" s="255">
        <f t="shared" si="1"/>
        <v>4694.7857142857138</v>
      </c>
      <c r="K13" s="255">
        <f t="shared" si="5"/>
        <v>8513.6785714285706</v>
      </c>
      <c r="L13" s="254">
        <f t="shared" si="6"/>
        <v>0.44855967078189296</v>
      </c>
      <c r="M13" s="256">
        <f t="shared" si="7"/>
        <v>0.47759856630824371</v>
      </c>
    </row>
    <row r="14" spans="2:13" x14ac:dyDescent="0.25">
      <c r="E14" s="254">
        <f>E13+0.05</f>
        <v>0.49999999999999994</v>
      </c>
      <c r="F14" s="3">
        <f t="shared" si="2"/>
        <v>0.5</v>
      </c>
      <c r="G14" s="3">
        <f t="shared" si="3"/>
        <v>0</v>
      </c>
      <c r="H14" s="3">
        <f t="shared" si="4"/>
        <v>0</v>
      </c>
      <c r="I14" s="255">
        <f t="shared" si="0"/>
        <v>4379.4642857142853</v>
      </c>
      <c r="J14" s="255">
        <f t="shared" si="1"/>
        <v>4379.4642857142853</v>
      </c>
      <c r="K14" s="255">
        <f t="shared" si="5"/>
        <v>8758.9285714285706</v>
      </c>
      <c r="L14" s="254">
        <f t="shared" si="6"/>
        <v>0.5</v>
      </c>
      <c r="M14" s="256">
        <f t="shared" si="7"/>
        <v>0.5</v>
      </c>
    </row>
    <row r="15" spans="2:13" x14ac:dyDescent="0.25">
      <c r="E15" s="258">
        <v>0.51</v>
      </c>
      <c r="F15" s="259">
        <f t="shared" ref="F15" si="9">1-E15</f>
        <v>0.49</v>
      </c>
      <c r="G15" s="259">
        <f t="shared" ref="G15" si="10">$C$10-E15</f>
        <v>-1.0000000000000009E-2</v>
      </c>
      <c r="H15" s="259">
        <f t="shared" ref="H15" si="11">$C$9-F15</f>
        <v>1.0000000000000009E-2</v>
      </c>
      <c r="I15" s="260">
        <f t="shared" ref="I15" si="12">$C$2*$C$3/$C$4*($C$6*E15-$C$7*G15)</f>
        <v>4491.5785714285712</v>
      </c>
      <c r="J15" s="260">
        <f t="shared" ref="J15" si="13">$C$2*$C$3/$C$5*($C$6*F15+$C$8*H15)</f>
        <v>4316.3999999999996</v>
      </c>
      <c r="K15" s="260">
        <f t="shared" ref="K15" si="14">J15+I15</f>
        <v>8807.9785714285717</v>
      </c>
      <c r="L15" s="258">
        <f t="shared" ref="L15" si="15">I15/K15</f>
        <v>0.50994431185361966</v>
      </c>
      <c r="M15" s="261">
        <f t="shared" ref="M15" si="16">($C$11+I15)/($C$11+I15+$C$12+J15)</f>
        <v>0.5044138418079096</v>
      </c>
    </row>
    <row r="16" spans="2:13" x14ac:dyDescent="0.25">
      <c r="E16" s="254">
        <f>E14+0.05</f>
        <v>0.54999999999999993</v>
      </c>
      <c r="F16" s="3">
        <f t="shared" si="2"/>
        <v>0.45000000000000007</v>
      </c>
      <c r="G16" s="3">
        <f t="shared" si="3"/>
        <v>-4.9999999999999933E-2</v>
      </c>
      <c r="H16" s="3">
        <f t="shared" si="4"/>
        <v>4.9999999999999933E-2</v>
      </c>
      <c r="I16" s="255">
        <f t="shared" si="0"/>
        <v>4940.0357142857129</v>
      </c>
      <c r="J16" s="255">
        <f t="shared" si="1"/>
        <v>4064.1428571428573</v>
      </c>
      <c r="K16" s="255">
        <f t="shared" si="5"/>
        <v>9004.1785714285706</v>
      </c>
      <c r="L16" s="254">
        <f t="shared" si="6"/>
        <v>0.54863813229571978</v>
      </c>
      <c r="M16" s="256">
        <f t="shared" si="7"/>
        <v>0.52185314685314677</v>
      </c>
    </row>
    <row r="17" spans="5:13" x14ac:dyDescent="0.25">
      <c r="E17" s="254">
        <f t="shared" si="8"/>
        <v>0.6</v>
      </c>
      <c r="F17" s="3">
        <f t="shared" si="2"/>
        <v>0.4</v>
      </c>
      <c r="G17" s="3">
        <f t="shared" si="3"/>
        <v>-9.9999999999999978E-2</v>
      </c>
      <c r="H17" s="3">
        <f t="shared" si="4"/>
        <v>9.9999999999999978E-2</v>
      </c>
      <c r="I17" s="255">
        <f t="shared" si="0"/>
        <v>5500.6071428571431</v>
      </c>
      <c r="J17" s="255">
        <f t="shared" si="1"/>
        <v>3748.8214285714284</v>
      </c>
      <c r="K17" s="255">
        <f t="shared" si="5"/>
        <v>9249.4285714285725</v>
      </c>
      <c r="L17" s="254">
        <f t="shared" si="6"/>
        <v>0.59469696969696961</v>
      </c>
      <c r="M17" s="257">
        <f t="shared" si="7"/>
        <v>0.54317789291882557</v>
      </c>
    </row>
    <row r="18" spans="5:13" x14ac:dyDescent="0.25">
      <c r="E18" s="267">
        <f t="shared" si="8"/>
        <v>0.65</v>
      </c>
      <c r="F18" s="268">
        <f t="shared" si="2"/>
        <v>0.35</v>
      </c>
      <c r="G18" s="268">
        <f t="shared" si="3"/>
        <v>-0.15000000000000002</v>
      </c>
      <c r="H18" s="268">
        <f t="shared" si="4"/>
        <v>0.15000000000000002</v>
      </c>
      <c r="I18" s="269">
        <f t="shared" si="0"/>
        <v>6061.1785714285716</v>
      </c>
      <c r="J18" s="269">
        <f t="shared" si="1"/>
        <v>3433.5</v>
      </c>
      <c r="K18" s="269">
        <f t="shared" si="5"/>
        <v>9494.6785714285725</v>
      </c>
      <c r="L18" s="267">
        <f t="shared" si="6"/>
        <v>0.63837638376383754</v>
      </c>
      <c r="M18" s="270">
        <f t="shared" si="7"/>
        <v>0.56399317406143346</v>
      </c>
    </row>
    <row r="19" spans="5:13" x14ac:dyDescent="0.25">
      <c r="E19" s="254">
        <f t="shared" si="8"/>
        <v>0.70000000000000007</v>
      </c>
      <c r="F19" s="3">
        <f t="shared" si="2"/>
        <v>0.29999999999999993</v>
      </c>
      <c r="G19" s="3">
        <f t="shared" si="3"/>
        <v>-0.20000000000000007</v>
      </c>
      <c r="H19" s="3">
        <f t="shared" si="4"/>
        <v>0.20000000000000007</v>
      </c>
      <c r="I19" s="255">
        <f t="shared" si="0"/>
        <v>6621.7500000000009</v>
      </c>
      <c r="J19" s="255">
        <f t="shared" si="1"/>
        <v>3118.1785714285706</v>
      </c>
      <c r="K19" s="255">
        <f t="shared" si="5"/>
        <v>9739.9285714285725</v>
      </c>
      <c r="L19" s="254">
        <f t="shared" si="6"/>
        <v>0.67985611510791366</v>
      </c>
      <c r="M19" s="256">
        <f t="shared" si="7"/>
        <v>0.58431703204047214</v>
      </c>
    </row>
    <row r="20" spans="5:13" x14ac:dyDescent="0.25">
      <c r="E20" s="254">
        <f t="shared" si="8"/>
        <v>0.75000000000000011</v>
      </c>
      <c r="F20" s="3">
        <f t="shared" si="2"/>
        <v>0.24999999999999989</v>
      </c>
      <c r="G20" s="3">
        <f t="shared" si="3"/>
        <v>-0.25000000000000011</v>
      </c>
      <c r="H20" s="3">
        <f t="shared" si="4"/>
        <v>0.25000000000000011</v>
      </c>
      <c r="I20" s="255">
        <f t="shared" si="0"/>
        <v>7182.3214285714294</v>
      </c>
      <c r="J20" s="255">
        <f t="shared" si="1"/>
        <v>2802.8571428571418</v>
      </c>
      <c r="K20" s="255">
        <f t="shared" si="5"/>
        <v>9985.1785714285706</v>
      </c>
      <c r="L20" s="254">
        <f t="shared" si="6"/>
        <v>0.71929824561403521</v>
      </c>
      <c r="M20" s="256">
        <f t="shared" si="7"/>
        <v>0.60416666666666674</v>
      </c>
    </row>
    <row r="21" spans="5:13" x14ac:dyDescent="0.25">
      <c r="E21" s="254">
        <v>0.77</v>
      </c>
      <c r="F21" s="3">
        <f t="shared" ref="F21" si="17">1-E21</f>
        <v>0.22999999999999998</v>
      </c>
      <c r="G21" s="3">
        <f t="shared" ref="G21" si="18">$C$10-E21</f>
        <v>-0.27</v>
      </c>
      <c r="H21" s="3">
        <f t="shared" ref="H21" si="19">$C$9-F21</f>
        <v>0.27</v>
      </c>
      <c r="I21" s="255">
        <f t="shared" ref="I21" si="20">$C$2*$C$3/$C$4*($C$6*E21-$C$7*G21)</f>
        <v>7406.55</v>
      </c>
      <c r="J21" s="255">
        <f t="shared" ref="J21" si="21">$C$2*$C$3/$C$5*($C$6*F21+$C$8*H21)</f>
        <v>2676.7285714285708</v>
      </c>
      <c r="K21" s="255">
        <f t="shared" ref="K21" si="22">J21+I21</f>
        <v>10083.278571428571</v>
      </c>
      <c r="L21" s="254">
        <f t="shared" ref="L21" si="23">I21/K21</f>
        <v>0.73453787352328015</v>
      </c>
      <c r="M21" s="256">
        <f t="shared" ref="M21" si="24">($C$11+I21)/($C$11+I21+$C$12+J21)</f>
        <v>0.61197743861977438</v>
      </c>
    </row>
    <row r="22" spans="5:13" x14ac:dyDescent="0.25">
      <c r="E22" s="254">
        <f>E20+0.05</f>
        <v>0.80000000000000016</v>
      </c>
      <c r="F22" s="3">
        <f t="shared" si="2"/>
        <v>0.19999999999999984</v>
      </c>
      <c r="G22" s="3">
        <f t="shared" si="3"/>
        <v>-0.30000000000000016</v>
      </c>
      <c r="H22" s="3">
        <f t="shared" si="4"/>
        <v>0.30000000000000016</v>
      </c>
      <c r="I22" s="255">
        <f t="shared" si="0"/>
        <v>7742.8928571428578</v>
      </c>
      <c r="J22" s="255">
        <f t="shared" si="1"/>
        <v>2487.5357142857133</v>
      </c>
      <c r="K22" s="255">
        <f t="shared" si="5"/>
        <v>10230.428571428571</v>
      </c>
      <c r="L22" s="254">
        <f t="shared" si="6"/>
        <v>0.75684931506849329</v>
      </c>
      <c r="M22" s="256">
        <f t="shared" si="7"/>
        <v>0.62355848434925865</v>
      </c>
    </row>
    <row r="23" spans="5:13" x14ac:dyDescent="0.25">
      <c r="E23" s="254">
        <f t="shared" si="8"/>
        <v>0.8500000000000002</v>
      </c>
      <c r="F23" s="3">
        <f t="shared" si="2"/>
        <v>0.1499999999999998</v>
      </c>
      <c r="G23" s="3">
        <f t="shared" si="3"/>
        <v>-0.3500000000000002</v>
      </c>
      <c r="H23" s="3">
        <f t="shared" si="4"/>
        <v>0.3500000000000002</v>
      </c>
      <c r="I23" s="255">
        <f t="shared" si="0"/>
        <v>8303.4642857142881</v>
      </c>
      <c r="J23" s="255">
        <f t="shared" si="1"/>
        <v>2172.2142857142844</v>
      </c>
      <c r="K23" s="255">
        <f t="shared" si="5"/>
        <v>10475.678571428572</v>
      </c>
      <c r="L23" s="254">
        <f t="shared" si="6"/>
        <v>0.79264214046822756</v>
      </c>
      <c r="M23" s="256">
        <f t="shared" si="7"/>
        <v>0.64250814332247563</v>
      </c>
    </row>
    <row r="24" spans="5:13" x14ac:dyDescent="0.25">
      <c r="E24" s="254">
        <f>E23+0.05</f>
        <v>0.90000000000000024</v>
      </c>
      <c r="F24" s="3">
        <f t="shared" si="2"/>
        <v>9.9999999999999756E-2</v>
      </c>
      <c r="G24" s="3">
        <f t="shared" si="3"/>
        <v>-0.40000000000000024</v>
      </c>
      <c r="H24" s="3">
        <f t="shared" si="4"/>
        <v>0.40000000000000024</v>
      </c>
      <c r="I24" s="255">
        <f t="shared" si="0"/>
        <v>8864.0357142857174</v>
      </c>
      <c r="J24" s="255">
        <f t="shared" si="1"/>
        <v>1856.8928571428555</v>
      </c>
      <c r="K24" s="255">
        <f t="shared" si="5"/>
        <v>10720.928571428572</v>
      </c>
      <c r="L24" s="254">
        <f t="shared" si="6"/>
        <v>0.8267973856209152</v>
      </c>
      <c r="M24" s="256">
        <f t="shared" si="7"/>
        <v>0.66103059581320467</v>
      </c>
    </row>
    <row r="25" spans="5:13" x14ac:dyDescent="0.25">
      <c r="E25" s="254">
        <f t="shared" si="8"/>
        <v>0.95000000000000029</v>
      </c>
      <c r="F25" s="3">
        <f t="shared" si="2"/>
        <v>4.9999999999999711E-2</v>
      </c>
      <c r="G25" s="3">
        <f t="shared" si="3"/>
        <v>-0.45000000000000029</v>
      </c>
      <c r="H25" s="3">
        <f t="shared" si="4"/>
        <v>0.45000000000000029</v>
      </c>
      <c r="I25" s="255">
        <f t="shared" si="0"/>
        <v>9424.6071428571468</v>
      </c>
      <c r="J25" s="255">
        <f t="shared" si="1"/>
        <v>1541.5714285714268</v>
      </c>
      <c r="K25" s="255">
        <f t="shared" si="5"/>
        <v>10966.178571428574</v>
      </c>
      <c r="L25" s="254">
        <f t="shared" si="6"/>
        <v>0.8594249201277957</v>
      </c>
      <c r="M25" s="256">
        <f t="shared" si="7"/>
        <v>0.67914012738853513</v>
      </c>
    </row>
    <row r="26" spans="5:13" x14ac:dyDescent="0.25">
      <c r="E26" s="254">
        <f>E25+0.05</f>
        <v>1.0000000000000002</v>
      </c>
      <c r="F26" s="3">
        <f t="shared" si="2"/>
        <v>0</v>
      </c>
      <c r="G26" s="3">
        <f t="shared" si="3"/>
        <v>-0.50000000000000022</v>
      </c>
      <c r="H26" s="3">
        <f t="shared" si="4"/>
        <v>0.5</v>
      </c>
      <c r="I26" s="255">
        <f t="shared" si="0"/>
        <v>9985.1785714285725</v>
      </c>
      <c r="J26" s="255">
        <f t="shared" si="1"/>
        <v>1226.25</v>
      </c>
      <c r="K26" s="255">
        <f t="shared" si="5"/>
        <v>11211.428571428572</v>
      </c>
      <c r="L26" s="254">
        <f t="shared" si="6"/>
        <v>0.890625</v>
      </c>
      <c r="M26" s="256">
        <f t="shared" si="7"/>
        <v>0.69685039370078738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J25"/>
  <sheetViews>
    <sheetView workbookViewId="0"/>
  </sheetViews>
  <sheetFormatPr defaultRowHeight="15" x14ac:dyDescent="0.25"/>
  <cols>
    <col min="1" max="1" width="11.42578125" bestFit="1" customWidth="1"/>
    <col min="2" max="2" width="11.5703125" bestFit="1" customWidth="1"/>
    <col min="4" max="4" width="30.42578125" bestFit="1" customWidth="1"/>
    <col min="6" max="6" width="19.7109375" bestFit="1" customWidth="1"/>
  </cols>
  <sheetData>
    <row r="2" spans="1:10" ht="15.75" thickBot="1" x14ac:dyDescent="0.3"/>
    <row r="3" spans="1:10" x14ac:dyDescent="0.25">
      <c r="A3" s="314" t="s">
        <v>145</v>
      </c>
      <c r="B3" s="314"/>
      <c r="C3" s="42" t="s">
        <v>150</v>
      </c>
      <c r="D3" s="42" t="s">
        <v>149</v>
      </c>
      <c r="F3" s="80" t="s">
        <v>73</v>
      </c>
      <c r="H3" s="146"/>
    </row>
    <row r="4" spans="1:10" x14ac:dyDescent="0.25">
      <c r="A4" t="s">
        <v>46</v>
      </c>
      <c r="B4" s="218">
        <f>51+B5</f>
        <v>63</v>
      </c>
      <c r="C4" t="s">
        <v>43</v>
      </c>
      <c r="F4" s="81" t="s">
        <v>74</v>
      </c>
      <c r="H4" s="351" t="s">
        <v>177</v>
      </c>
      <c r="I4" s="351"/>
      <c r="J4" s="351"/>
    </row>
    <row r="5" spans="1:10" x14ac:dyDescent="0.25">
      <c r="A5" t="s">
        <v>153</v>
      </c>
      <c r="B5" s="218">
        <v>12</v>
      </c>
      <c r="C5" t="s">
        <v>43</v>
      </c>
      <c r="D5" t="str">
        <f>+IF(B5&gt;=B14,"d must be smaller than pitch","ok")</f>
        <v>ok</v>
      </c>
      <c r="F5" s="82" t="s">
        <v>75</v>
      </c>
    </row>
    <row r="6" spans="1:10" x14ac:dyDescent="0.25">
      <c r="A6" t="s">
        <v>146</v>
      </c>
      <c r="B6" s="222">
        <f>B4/B5</f>
        <v>5.25</v>
      </c>
      <c r="C6" t="s">
        <v>147</v>
      </c>
      <c r="D6" t="s">
        <v>148</v>
      </c>
      <c r="F6" s="83" t="s">
        <v>78</v>
      </c>
    </row>
    <row r="7" spans="1:10" x14ac:dyDescent="0.25">
      <c r="A7" t="s">
        <v>48</v>
      </c>
      <c r="B7" s="218">
        <f>120*48</f>
        <v>5760</v>
      </c>
      <c r="C7" t="s">
        <v>41</v>
      </c>
      <c r="F7" s="84" t="s">
        <v>79</v>
      </c>
    </row>
    <row r="8" spans="1:10" ht="15.75" thickBot="1" x14ac:dyDescent="0.3">
      <c r="A8" s="217" t="s">
        <v>151</v>
      </c>
      <c r="B8" s="219">
        <v>1.7</v>
      </c>
      <c r="C8" t="s">
        <v>147</v>
      </c>
      <c r="D8" t="s">
        <v>154</v>
      </c>
      <c r="F8" s="85" t="s">
        <v>80</v>
      </c>
    </row>
    <row r="9" spans="1:10" x14ac:dyDescent="0.25">
      <c r="A9" t="s">
        <v>152</v>
      </c>
      <c r="B9" s="219">
        <v>0.98</v>
      </c>
      <c r="C9" t="s">
        <v>147</v>
      </c>
      <c r="D9" t="s">
        <v>154</v>
      </c>
    </row>
    <row r="10" spans="1:10" x14ac:dyDescent="0.25">
      <c r="A10" s="217" t="s">
        <v>151</v>
      </c>
      <c r="B10" s="51">
        <f>IF(AND(B6 &gt;=7,B6&lt;=12),(4*B6-1)/(4*B6-4)+0.615/B6,B8)</f>
        <v>1.7</v>
      </c>
      <c r="C10" t="s">
        <v>147</v>
      </c>
    </row>
    <row r="11" spans="1:10" x14ac:dyDescent="0.25">
      <c r="A11" t="s">
        <v>152</v>
      </c>
      <c r="B11" s="51">
        <f>IF(AND(B6 &gt;=7,B6&lt;=12),1,B9)</f>
        <v>0.98</v>
      </c>
      <c r="C11" t="s">
        <v>147</v>
      </c>
    </row>
    <row r="12" spans="1:10" x14ac:dyDescent="0.25">
      <c r="A12" t="s">
        <v>158</v>
      </c>
      <c r="B12" s="221">
        <v>2</v>
      </c>
      <c r="C12" t="s">
        <v>147</v>
      </c>
    </row>
    <row r="13" spans="1:10" x14ac:dyDescent="0.25">
      <c r="A13" t="s">
        <v>155</v>
      </c>
      <c r="B13" s="218">
        <v>5</v>
      </c>
      <c r="C13" t="s">
        <v>147</v>
      </c>
      <c r="D13" t="s">
        <v>176</v>
      </c>
    </row>
    <row r="14" spans="1:10" x14ac:dyDescent="0.25">
      <c r="A14" t="s">
        <v>161</v>
      </c>
      <c r="B14" s="218">
        <v>25</v>
      </c>
      <c r="C14" t="s">
        <v>43</v>
      </c>
      <c r="D14" t="s">
        <v>162</v>
      </c>
    </row>
    <row r="15" spans="1:10" x14ac:dyDescent="0.25">
      <c r="A15" t="s">
        <v>156</v>
      </c>
      <c r="B15" s="220">
        <f>CHOOSE(B12,B13,B13,B13+2,B13+2)</f>
        <v>5</v>
      </c>
      <c r="D15" t="s">
        <v>157</v>
      </c>
    </row>
    <row r="16" spans="1:10" x14ac:dyDescent="0.25">
      <c r="A16" t="s">
        <v>159</v>
      </c>
      <c r="B16" s="220">
        <f>CHOOSE(B12,B13*B14+B5,B13*B14,B13*B14+3*B5,B13*B14+2*B5)</f>
        <v>125</v>
      </c>
      <c r="C16" t="s">
        <v>43</v>
      </c>
      <c r="D16" t="s">
        <v>160</v>
      </c>
    </row>
    <row r="17" spans="1:4" x14ac:dyDescent="0.25">
      <c r="A17" t="s">
        <v>163</v>
      </c>
      <c r="B17" s="220">
        <f>CHOOSE(B12,(B13+1)*B5,B13*B5,(B13+3)*B5,(B13+2)*B5)</f>
        <v>60</v>
      </c>
      <c r="C17" t="s">
        <v>43</v>
      </c>
      <c r="D17" t="s">
        <v>164</v>
      </c>
    </row>
    <row r="18" spans="1:4" x14ac:dyDescent="0.25">
      <c r="A18" t="s">
        <v>165</v>
      </c>
      <c r="B18" s="218">
        <v>0</v>
      </c>
      <c r="C18" t="s">
        <v>43</v>
      </c>
      <c r="D18" t="s">
        <v>166</v>
      </c>
    </row>
    <row r="19" spans="1:4" x14ac:dyDescent="0.25">
      <c r="A19" t="s">
        <v>167</v>
      </c>
      <c r="B19" s="50">
        <f>B17+B18*B13</f>
        <v>60</v>
      </c>
      <c r="C19" t="s">
        <v>43</v>
      </c>
    </row>
    <row r="20" spans="1:4" x14ac:dyDescent="0.25">
      <c r="A20" t="s">
        <v>20</v>
      </c>
      <c r="B20" s="50">
        <f>B16-B19</f>
        <v>65</v>
      </c>
      <c r="C20" t="s">
        <v>43</v>
      </c>
    </row>
    <row r="21" spans="1:4" x14ac:dyDescent="0.25">
      <c r="A21" s="217" t="s">
        <v>168</v>
      </c>
      <c r="B21" s="50">
        <f>B10*B7*0.5*B4/(PI()*B5^3/16)</f>
        <v>909.09303494090625</v>
      </c>
      <c r="C21" t="s">
        <v>169</v>
      </c>
    </row>
    <row r="22" spans="1:4" x14ac:dyDescent="0.25">
      <c r="A22" s="217" t="s">
        <v>47</v>
      </c>
      <c r="B22" s="50">
        <v>206000</v>
      </c>
      <c r="C22" t="s">
        <v>169</v>
      </c>
      <c r="D22" t="s">
        <v>171</v>
      </c>
    </row>
    <row r="23" spans="1:4" x14ac:dyDescent="0.25">
      <c r="A23" s="217" t="s">
        <v>173</v>
      </c>
      <c r="B23" s="222">
        <v>0.3</v>
      </c>
      <c r="D23" t="s">
        <v>172</v>
      </c>
    </row>
    <row r="24" spans="1:4" ht="13.9" customHeight="1" x14ac:dyDescent="0.25">
      <c r="A24" s="217" t="s">
        <v>170</v>
      </c>
      <c r="B24" s="222">
        <f>B11*B7*(0.5*B4)^2*(PI()*B4*B13)/(PI()*B5^4*(B22/(2*(1+B23)))/32)</f>
        <v>34.36460388349515</v>
      </c>
      <c r="C24" t="s">
        <v>43</v>
      </c>
    </row>
    <row r="25" spans="1:4" x14ac:dyDescent="0.25">
      <c r="A25" s="217" t="s">
        <v>174</v>
      </c>
      <c r="B25" s="50">
        <f>B7/B24</f>
        <v>167.61432838067572</v>
      </c>
      <c r="C25" t="s">
        <v>12</v>
      </c>
      <c r="D25" t="s">
        <v>175</v>
      </c>
    </row>
  </sheetData>
  <mergeCells count="2">
    <mergeCell ref="A3:B3"/>
    <mergeCell ref="H4:J4"/>
  </mergeCells>
  <conditionalFormatting sqref="B5 B14">
    <cfRule type="expression" dxfId="0" priority="1">
      <formula>$B$5&gt;$B$14</formula>
    </cfRule>
  </conditionalFormatting>
  <hyperlinks>
    <hyperlink ref="H4:J4" r:id="rId1" display="Calcolo online" xr:uid="{00000000-0004-0000-0800-000000000000}"/>
  </hyperlinks>
  <pageMargins left="0.7" right="0.7" top="0.75" bottom="0.75" header="0.3" footer="0.3"/>
  <pageSetup orientation="portrait" horizontalDpi="1200" verticalDpi="1200" r:id="rId2"/>
  <drawing r:id="rId3"/>
  <legacyDrawing r:id="rId4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Foglio1"/>
  <dimension ref="B1:G18"/>
  <sheetViews>
    <sheetView workbookViewId="0">
      <selection activeCell="J32" sqref="J32"/>
    </sheetView>
  </sheetViews>
  <sheetFormatPr defaultColWidth="9.140625" defaultRowHeight="15" x14ac:dyDescent="0.25"/>
  <cols>
    <col min="1" max="1" width="3.7109375" style="146" customWidth="1"/>
    <col min="2" max="2" width="19.85546875" style="146" bestFit="1" customWidth="1"/>
    <col min="3" max="3" width="19.140625" style="146" customWidth="1"/>
    <col min="4" max="4" width="14.5703125" style="146" bestFit="1" customWidth="1"/>
    <col min="5" max="5" width="14.42578125" style="146" bestFit="1" customWidth="1"/>
    <col min="6" max="6" width="14.7109375" style="146" bestFit="1" customWidth="1"/>
    <col min="7" max="7" width="4.42578125" style="146" bestFit="1" customWidth="1"/>
    <col min="8" max="16384" width="9.140625" style="146"/>
  </cols>
  <sheetData>
    <row r="1" spans="2:7" ht="15.75" thickBot="1" x14ac:dyDescent="0.3"/>
    <row r="2" spans="2:7" x14ac:dyDescent="0.25">
      <c r="B2" s="147"/>
      <c r="C2" s="353" t="s">
        <v>121</v>
      </c>
      <c r="D2" s="353"/>
      <c r="E2" s="353"/>
      <c r="F2" s="353"/>
      <c r="G2" s="148"/>
    </row>
    <row r="3" spans="2:7" x14ac:dyDescent="0.25">
      <c r="B3" s="162"/>
      <c r="C3" s="146" t="s">
        <v>122</v>
      </c>
      <c r="D3" s="146" t="s">
        <v>123</v>
      </c>
      <c r="E3" s="146" t="s">
        <v>124</v>
      </c>
      <c r="F3" s="146" t="s">
        <v>125</v>
      </c>
      <c r="G3" s="149"/>
    </row>
    <row r="4" spans="2:7" x14ac:dyDescent="0.25">
      <c r="B4" s="163" t="s">
        <v>126</v>
      </c>
      <c r="C4" s="146">
        <v>51</v>
      </c>
      <c r="D4" s="146">
        <v>54</v>
      </c>
      <c r="E4" s="146">
        <v>73</v>
      </c>
      <c r="F4" s="146">
        <v>76</v>
      </c>
      <c r="G4" s="149"/>
    </row>
    <row r="5" spans="2:7" x14ac:dyDescent="0.25">
      <c r="B5" s="163" t="s">
        <v>127</v>
      </c>
      <c r="C5" s="146">
        <v>27</v>
      </c>
      <c r="D5" s="146">
        <v>35</v>
      </c>
      <c r="E5" s="146">
        <v>48</v>
      </c>
      <c r="F5" s="146">
        <v>52</v>
      </c>
      <c r="G5" s="149"/>
    </row>
    <row r="6" spans="2:7" x14ac:dyDescent="0.25">
      <c r="B6" s="162"/>
      <c r="G6" s="149"/>
    </row>
    <row r="7" spans="2:7" x14ac:dyDescent="0.25">
      <c r="B7" s="162"/>
      <c r="C7" s="310" t="s">
        <v>128</v>
      </c>
      <c r="D7" s="310"/>
      <c r="E7" s="310" t="s">
        <v>129</v>
      </c>
      <c r="F7" s="310"/>
      <c r="G7" s="149"/>
    </row>
    <row r="8" spans="2:7" x14ac:dyDescent="0.25">
      <c r="B8" s="163" t="s">
        <v>126</v>
      </c>
      <c r="C8" s="310">
        <f>MAX(C4:D4)</f>
        <v>54</v>
      </c>
      <c r="D8" s="310"/>
      <c r="E8" s="310">
        <f>MAX(E4:F4)</f>
        <v>76</v>
      </c>
      <c r="F8" s="310"/>
      <c r="G8" s="149"/>
    </row>
    <row r="9" spans="2:7" x14ac:dyDescent="0.25">
      <c r="B9" s="163" t="s">
        <v>127</v>
      </c>
      <c r="C9" s="310">
        <f>MAX(C5:D5)</f>
        <v>35</v>
      </c>
      <c r="D9" s="310"/>
      <c r="E9" s="310">
        <f>MAX(E5:F5)</f>
        <v>52</v>
      </c>
      <c r="F9" s="310"/>
      <c r="G9" s="149"/>
    </row>
    <row r="10" spans="2:7" x14ac:dyDescent="0.25">
      <c r="B10" s="162"/>
      <c r="G10" s="149"/>
    </row>
    <row r="11" spans="2:7" x14ac:dyDescent="0.25">
      <c r="B11" s="162"/>
      <c r="C11" s="352" t="s">
        <v>130</v>
      </c>
      <c r="D11" s="352"/>
      <c r="E11" s="352" t="s">
        <v>131</v>
      </c>
      <c r="F11" s="352"/>
      <c r="G11" s="149"/>
    </row>
    <row r="12" spans="2:7" x14ac:dyDescent="0.25">
      <c r="B12" s="164" t="s">
        <v>126</v>
      </c>
      <c r="C12" s="352">
        <v>60</v>
      </c>
      <c r="D12" s="352"/>
      <c r="E12" s="352">
        <v>70</v>
      </c>
      <c r="F12" s="352"/>
      <c r="G12" s="149"/>
    </row>
    <row r="13" spans="2:7" x14ac:dyDescent="0.25">
      <c r="B13" s="164" t="s">
        <v>127</v>
      </c>
      <c r="C13" s="352">
        <v>40</v>
      </c>
      <c r="D13" s="352"/>
      <c r="E13" s="352">
        <v>50</v>
      </c>
      <c r="F13" s="352"/>
      <c r="G13" s="149"/>
    </row>
    <row r="14" spans="2:7" x14ac:dyDescent="0.25">
      <c r="B14" s="162"/>
      <c r="G14" s="149"/>
    </row>
    <row r="15" spans="2:7" x14ac:dyDescent="0.25">
      <c r="B15" s="162" t="s">
        <v>132</v>
      </c>
      <c r="D15" s="146">
        <v>50</v>
      </c>
      <c r="G15" s="149"/>
    </row>
    <row r="16" spans="2:7" x14ac:dyDescent="0.25">
      <c r="B16" s="162"/>
      <c r="G16" s="149"/>
    </row>
    <row r="17" spans="2:7" x14ac:dyDescent="0.25">
      <c r="B17" s="162"/>
      <c r="G17" s="149"/>
    </row>
    <row r="18" spans="2:7" ht="15.75" thickBot="1" x14ac:dyDescent="0.3">
      <c r="B18" s="165"/>
      <c r="C18" s="166" t="s">
        <v>133</v>
      </c>
      <c r="D18" s="166"/>
      <c r="E18" s="166"/>
      <c r="F18" s="166">
        <v>74</v>
      </c>
      <c r="G18" s="150" t="s">
        <v>97</v>
      </c>
    </row>
  </sheetData>
  <mergeCells count="13">
    <mergeCell ref="C9:D9"/>
    <mergeCell ref="E9:F9"/>
    <mergeCell ref="C2:F2"/>
    <mergeCell ref="C7:D7"/>
    <mergeCell ref="E7:F7"/>
    <mergeCell ref="C8:D8"/>
    <mergeCell ref="E8:F8"/>
    <mergeCell ref="C11:D11"/>
    <mergeCell ref="E11:F11"/>
    <mergeCell ref="C12:D12"/>
    <mergeCell ref="E12:F12"/>
    <mergeCell ref="C13:D13"/>
    <mergeCell ref="E13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Setup-Sheet</vt:lpstr>
      <vt:lpstr>front motion ratio</vt:lpstr>
      <vt:lpstr>front wheel travel</vt:lpstr>
      <vt:lpstr>front spring</vt:lpstr>
      <vt:lpstr>front damper</vt:lpstr>
      <vt:lpstr>rear motion ratio</vt:lpstr>
      <vt:lpstr>rear wheel travel</vt:lpstr>
      <vt:lpstr>rear spring</vt:lpstr>
      <vt:lpstr>rear damper</vt:lpstr>
      <vt:lpstr>Roll Stiffness</vt:lpstr>
      <vt:lpstr>Target Roll Stiffness</vt:lpstr>
      <vt:lpstr>spring</vt:lpstr>
      <vt:lpstr>P45 wheel travel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2020-03-27T16:55:43Z</dcterms:modified>
</cp:coreProperties>
</file>