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DataEngineering\SCG_004C\"/>
    </mc:Choice>
  </mc:AlternateContent>
  <xr:revisionPtr revIDLastSave="0" documentId="13_ncr:1_{CCD7AD81-9040-47AE-92D6-A12494328DE6}" xr6:coauthVersionLast="47" xr6:coauthVersionMax="47" xr10:uidLastSave="{00000000-0000-0000-0000-000000000000}"/>
  <bookViews>
    <workbookView xWindow="-38520" yWindow="-120" windowWidth="38640" windowHeight="15840" xr2:uid="{D0AE699B-94E1-4A8A-A809-EED221848718}"/>
  </bookViews>
  <sheets>
    <sheet name="Dottinger" sheetId="1" r:id="rId1"/>
    <sheet name="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6" i="1" l="1"/>
  <c r="I96" i="1" s="1"/>
  <c r="E96" i="1"/>
  <c r="H96" i="1" s="1"/>
  <c r="F95" i="1"/>
  <c r="I95" i="1" s="1"/>
  <c r="E95" i="1"/>
  <c r="H95" i="1" s="1"/>
  <c r="K95" i="1" s="1"/>
  <c r="F92" i="1"/>
  <c r="F89" i="1"/>
  <c r="I89" i="1" s="1"/>
  <c r="E89" i="1"/>
  <c r="H89" i="1" s="1"/>
  <c r="F88" i="1"/>
  <c r="I88" i="1" s="1"/>
  <c r="E88" i="1"/>
  <c r="H88" i="1" s="1"/>
  <c r="F85" i="1"/>
  <c r="F81" i="1"/>
  <c r="I81" i="1" s="1"/>
  <c r="E81" i="1"/>
  <c r="H81" i="1" s="1"/>
  <c r="F80" i="1"/>
  <c r="I80" i="1" s="1"/>
  <c r="E80" i="1"/>
  <c r="H80" i="1" s="1"/>
  <c r="K80" i="1" s="1"/>
  <c r="F77" i="1"/>
  <c r="F68" i="1"/>
  <c r="I68" i="1" s="1"/>
  <c r="E68" i="1"/>
  <c r="H68" i="1" s="1"/>
  <c r="F67" i="1"/>
  <c r="I67" i="1" s="1"/>
  <c r="E67" i="1"/>
  <c r="H67" i="1" s="1"/>
  <c r="F64" i="1"/>
  <c r="F137" i="1"/>
  <c r="I137" i="1" s="1"/>
  <c r="E137" i="1"/>
  <c r="H137" i="1" s="1"/>
  <c r="F136" i="1"/>
  <c r="I136" i="1" s="1"/>
  <c r="E136" i="1"/>
  <c r="H136" i="1" s="1"/>
  <c r="F133" i="1"/>
  <c r="F130" i="1"/>
  <c r="I130" i="1" s="1"/>
  <c r="E130" i="1"/>
  <c r="H130" i="1" s="1"/>
  <c r="F129" i="1"/>
  <c r="I129" i="1" s="1"/>
  <c r="E129" i="1"/>
  <c r="H129" i="1" s="1"/>
  <c r="F126" i="1"/>
  <c r="F123" i="1"/>
  <c r="I123" i="1" s="1"/>
  <c r="E123" i="1"/>
  <c r="H123" i="1" s="1"/>
  <c r="F122" i="1"/>
  <c r="I122" i="1" s="1"/>
  <c r="E122" i="1"/>
  <c r="H122" i="1" s="1"/>
  <c r="F119" i="1"/>
  <c r="F116" i="1"/>
  <c r="I116" i="1" s="1"/>
  <c r="E116" i="1"/>
  <c r="H116" i="1" s="1"/>
  <c r="F115" i="1"/>
  <c r="I115" i="1" s="1"/>
  <c r="E115" i="1"/>
  <c r="H115" i="1" s="1"/>
  <c r="F112" i="1"/>
  <c r="F109" i="1"/>
  <c r="I109" i="1" s="1"/>
  <c r="E109" i="1"/>
  <c r="H109" i="1" s="1"/>
  <c r="F108" i="1"/>
  <c r="I108" i="1" s="1"/>
  <c r="E108" i="1"/>
  <c r="H108" i="1" s="1"/>
  <c r="F105" i="1"/>
  <c r="F13" i="2"/>
  <c r="I13" i="2" s="1"/>
  <c r="E13" i="2"/>
  <c r="H13" i="2" s="1"/>
  <c r="F12" i="2"/>
  <c r="I12" i="2" s="1"/>
  <c r="E12" i="2"/>
  <c r="H12" i="2" s="1"/>
  <c r="F9" i="2"/>
  <c r="F60" i="1"/>
  <c r="I60" i="1" s="1"/>
  <c r="E60" i="1"/>
  <c r="H60" i="1" s="1"/>
  <c r="F59" i="1"/>
  <c r="I59" i="1" s="1"/>
  <c r="E59" i="1"/>
  <c r="H59" i="1" s="1"/>
  <c r="F56" i="1"/>
  <c r="T68" i="1" s="1"/>
  <c r="F47" i="1"/>
  <c r="I47" i="1" s="1"/>
  <c r="E47" i="1"/>
  <c r="H47" i="1" s="1"/>
  <c r="F46" i="1"/>
  <c r="I46" i="1" s="1"/>
  <c r="E46" i="1"/>
  <c r="H46" i="1" s="1"/>
  <c r="F43" i="1"/>
  <c r="F40" i="1"/>
  <c r="I40" i="1" s="1"/>
  <c r="E40" i="1"/>
  <c r="H40" i="1" s="1"/>
  <c r="F39" i="1"/>
  <c r="I39" i="1" s="1"/>
  <c r="E39" i="1"/>
  <c r="H39" i="1" s="1"/>
  <c r="F36" i="1"/>
  <c r="E32" i="1"/>
  <c r="H32" i="1" s="1"/>
  <c r="F33" i="1"/>
  <c r="I33" i="1" s="1"/>
  <c r="E33" i="1"/>
  <c r="H33" i="1" s="1"/>
  <c r="F32" i="1"/>
  <c r="I32" i="1" s="1"/>
  <c r="F29" i="1"/>
  <c r="E25" i="1"/>
  <c r="H25" i="1" s="1"/>
  <c r="F26" i="1"/>
  <c r="I26" i="1" s="1"/>
  <c r="E26" i="1"/>
  <c r="H26" i="1" s="1"/>
  <c r="F25" i="1"/>
  <c r="I25" i="1" s="1"/>
  <c r="F22" i="1"/>
  <c r="F19" i="1"/>
  <c r="I19" i="1" s="1"/>
  <c r="E19" i="1"/>
  <c r="H19" i="1" s="1"/>
  <c r="F18" i="1"/>
  <c r="I18" i="1" s="1"/>
  <c r="E18" i="1"/>
  <c r="H18" i="1" s="1"/>
  <c r="F15" i="1"/>
  <c r="F11" i="1"/>
  <c r="I11" i="1" s="1"/>
  <c r="F12" i="1"/>
  <c r="I12" i="1" s="1"/>
  <c r="E12" i="1"/>
  <c r="H12" i="1" s="1"/>
  <c r="E11" i="1"/>
  <c r="H11" i="1" s="1"/>
  <c r="F8" i="1"/>
  <c r="K96" i="1" l="1"/>
  <c r="M95" i="1"/>
  <c r="L95" i="1"/>
  <c r="T95" i="1"/>
  <c r="T96" i="1"/>
  <c r="K81" i="1"/>
  <c r="M80" i="1" s="1"/>
  <c r="K68" i="1"/>
  <c r="K89" i="1"/>
  <c r="K67" i="1"/>
  <c r="K88" i="1"/>
  <c r="T80" i="1"/>
  <c r="T81" i="1"/>
  <c r="T88" i="1"/>
  <c r="T89" i="1"/>
  <c r="T67" i="1"/>
  <c r="K122" i="1"/>
  <c r="K108" i="1"/>
  <c r="T108" i="1"/>
  <c r="K123" i="1"/>
  <c r="T129" i="1"/>
  <c r="T116" i="1"/>
  <c r="K130" i="1"/>
  <c r="T109" i="1"/>
  <c r="T123" i="1"/>
  <c r="K137" i="1"/>
  <c r="T115" i="1"/>
  <c r="T136" i="1"/>
  <c r="T130" i="1"/>
  <c r="T122" i="1"/>
  <c r="T137" i="1"/>
  <c r="K109" i="1"/>
  <c r="K115" i="1"/>
  <c r="K116" i="1"/>
  <c r="K136" i="1"/>
  <c r="K129" i="1"/>
  <c r="K13" i="2"/>
  <c r="K12" i="2"/>
  <c r="L12" i="2" s="1"/>
  <c r="K59" i="1"/>
  <c r="T59" i="1"/>
  <c r="T60" i="1"/>
  <c r="K60" i="1"/>
  <c r="K11" i="1"/>
  <c r="K26" i="1"/>
  <c r="K12" i="1"/>
  <c r="K25" i="1"/>
  <c r="K47" i="1"/>
  <c r="K46" i="1"/>
  <c r="K40" i="1"/>
  <c r="K39" i="1"/>
  <c r="K33" i="1"/>
  <c r="K32" i="1"/>
  <c r="K19" i="1"/>
  <c r="K18" i="1"/>
  <c r="M88" i="1" l="1"/>
  <c r="L80" i="1"/>
  <c r="U95" i="1"/>
  <c r="V95" i="1"/>
  <c r="L88" i="1"/>
  <c r="M122" i="1"/>
  <c r="U115" i="1"/>
  <c r="V88" i="1"/>
  <c r="U88" i="1"/>
  <c r="U80" i="1"/>
  <c r="V80" i="1"/>
  <c r="M108" i="1"/>
  <c r="U108" i="1"/>
  <c r="V67" i="1"/>
  <c r="U67" i="1"/>
  <c r="L67" i="1"/>
  <c r="M67" i="1"/>
  <c r="L122" i="1"/>
  <c r="L108" i="1"/>
  <c r="U129" i="1"/>
  <c r="V129" i="1"/>
  <c r="V122" i="1"/>
  <c r="V136" i="1"/>
  <c r="U136" i="1"/>
  <c r="L115" i="1"/>
  <c r="U122" i="1"/>
  <c r="V115" i="1"/>
  <c r="V108" i="1"/>
  <c r="M115" i="1"/>
  <c r="L59" i="1"/>
  <c r="M129" i="1"/>
  <c r="L129" i="1"/>
  <c r="M136" i="1"/>
  <c r="L136" i="1"/>
  <c r="M12" i="2"/>
  <c r="M59" i="1"/>
  <c r="U59" i="1"/>
  <c r="V59" i="1"/>
  <c r="L11" i="1"/>
  <c r="M25" i="1"/>
  <c r="M39" i="1"/>
  <c r="M11" i="1"/>
  <c r="L39" i="1"/>
  <c r="L46" i="1"/>
  <c r="M46" i="1"/>
  <c r="L32" i="1"/>
  <c r="M32" i="1"/>
  <c r="M18" i="1"/>
  <c r="L25" i="1"/>
  <c r="L18" i="1"/>
</calcChain>
</file>

<file path=xl/sharedStrings.xml><?xml version="1.0" encoding="utf-8"?>
<sst xmlns="http://schemas.openxmlformats.org/spreadsheetml/2006/main" count="330" uniqueCount="44">
  <si>
    <t>Speed</t>
  </si>
  <si>
    <t>dam</t>
  </si>
  <si>
    <t>dam_Force</t>
  </si>
  <si>
    <t>km/h</t>
  </si>
  <si>
    <t>-----&gt;</t>
  </si>
  <si>
    <t>m/s</t>
  </si>
  <si>
    <t>Springs</t>
  </si>
  <si>
    <t>[N/mm]</t>
  </si>
  <si>
    <t>20210605_18-09-42_NBR_24h_Race_004006_004_08-40-68</t>
  </si>
  <si>
    <t>MR</t>
  </si>
  <si>
    <t>Damper Stroke zeroed in pit, static conditions</t>
  </si>
  <si>
    <t>Fz = AeroLoad</t>
  </si>
  <si>
    <t>SCz</t>
  </si>
  <si>
    <t>Lap 3</t>
  </si>
  <si>
    <t>Lap 4</t>
  </si>
  <si>
    <t>Air Dens</t>
  </si>
  <si>
    <t>kg/m^3</t>
  </si>
  <si>
    <t>Lap 2</t>
  </si>
  <si>
    <t>SCz_Tot</t>
  </si>
  <si>
    <t>RH</t>
  </si>
  <si>
    <t>[mm]</t>
  </si>
  <si>
    <t>20210605_19-16-03_NBR_24h_Race_004006_005_09-07-91</t>
  </si>
  <si>
    <t>Lap 7</t>
  </si>
  <si>
    <t>Lap 6</t>
  </si>
  <si>
    <t>AB</t>
  </si>
  <si>
    <t>NLS 3</t>
  </si>
  <si>
    <t>LoadCells</t>
  </si>
  <si>
    <t>20210501_13-22-49_NBR_NLS3_Race_004006_003_08-10-90</t>
  </si>
  <si>
    <t>/</t>
  </si>
  <si>
    <t>Scz LoadCells</t>
  </si>
  <si>
    <t>Scz_Tot</t>
  </si>
  <si>
    <t>20210501_14-33-12_NBR_NLS3_Race_004006_004_08-13-87</t>
  </si>
  <si>
    <t>20210501_15-45-15_NBR_NLS3_Race_004006_005_08-14-01</t>
  </si>
  <si>
    <t>Shakedown New Rear Wing Span</t>
  </si>
  <si>
    <t>Damper Strokes zeroed in static conditions</t>
  </si>
  <si>
    <t>24h Ring,  12° RW</t>
  </si>
  <si>
    <t>Wider Rear Wing, Damper Stroke zeroed in pit in static conditions</t>
  </si>
  <si>
    <t>20210604_18-30-23_NBR_24h_TopQ1_004006_006_08-24-59</t>
  </si>
  <si>
    <t>TOP Q , 10.5° RW</t>
  </si>
  <si>
    <t>Q1 , 12° RW</t>
  </si>
  <si>
    <t>20210603_13-24-16_NBR_24h_Q1_004006_004_06-29-07</t>
  </si>
  <si>
    <t>20210603_12-40-58_NBR_24h_Q1_004006_002_03-43-12</t>
  </si>
  <si>
    <t>20210603_13-50-42_NBR_24h_Q1_004006_005_03-40-51</t>
  </si>
  <si>
    <t>Old Spec Wing, Damper Stroke zeroed in pit in static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</si>
</sst>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4">
    <xf numFmtId="0" fontId="0" fillId="0" borderId="0" xfId="0"/>
    <xf numFmtId="0" fontId="0" fillId="0" borderId="0" xfId="0" quotePrefix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3" fillId="0" borderId="0" xfId="0" applyFont="1" applyFill="1"/>
    <xf numFmtId="0" fontId="4" fillId="0" borderId="0" xfId="0" applyFont="1" applyFill="1"/>
    <xf numFmtId="0" fontId="0" fillId="0" borderId="12" xfId="0" applyBorder="1"/>
    <xf numFmtId="0" fontId="0" fillId="0" borderId="13" xfId="0" applyBorder="1"/>
    <xf numFmtId="0" fontId="1" fillId="2" borderId="1" xfId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1" fillId="2" borderId="1" xfId="1" quotePrefix="1"/>
    <xf numFmtId="0" fontId="1" fillId="2" borderId="1" xfId="1" quotePrefix="1" applyAlignment="1">
      <alignment horizontal="center"/>
    </xf>
    <xf numFmtId="0" fontId="2" fillId="3" borderId="0" xfId="0" applyFont="1" applyFill="1"/>
    <xf numFmtId="2" fontId="0" fillId="0" borderId="0" xfId="0" applyNumberFormat="1"/>
    <xf numFmtId="0" fontId="1" fillId="2" borderId="1" xfId="1" quotePrefix="1" applyAlignment="1">
      <alignment horizontal="right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5" fillId="0" borderId="0" xfId="0" applyFont="1"/>
    <xf numFmtId="0" fontId="5" fillId="0" borderId="0" xfId="1" applyFont="1" applyFill="1" applyBorder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9E2A-A57C-45A1-8831-A1AF2B1E7BEC}">
  <dimension ref="A2:V137"/>
  <sheetViews>
    <sheetView tabSelected="1" zoomScaleNormal="100" workbookViewId="0">
      <selection activeCell="B90" sqref="B90"/>
    </sheetView>
  </sheetViews>
  <sheetFormatPr defaultRowHeight="15" x14ac:dyDescent="0.25"/>
  <cols>
    <col min="1" max="1" width="3.7109375" customWidth="1"/>
    <col min="20" max="20" width="12.7109375" bestFit="1" customWidth="1"/>
    <col min="21" max="22" width="10.5703125" bestFit="1" customWidth="1"/>
  </cols>
  <sheetData>
    <row r="2" spans="1:16" x14ac:dyDescent="0.25">
      <c r="A2" s="20" t="s">
        <v>35</v>
      </c>
      <c r="B2" s="20"/>
      <c r="C2" s="20"/>
      <c r="D2" s="20"/>
      <c r="E2" s="20"/>
      <c r="F2" s="20"/>
      <c r="G2" s="20"/>
      <c r="H2" s="20"/>
      <c r="I2" s="20"/>
    </row>
    <row r="3" spans="1:16" ht="15.75" thickBot="1" x14ac:dyDescent="0.3">
      <c r="E3" s="3" t="s">
        <v>6</v>
      </c>
      <c r="F3" s="3" t="s">
        <v>7</v>
      </c>
    </row>
    <row r="4" spans="1:16" ht="15.75" thickBot="1" x14ac:dyDescent="0.3">
      <c r="B4" s="3" t="s">
        <v>9</v>
      </c>
      <c r="C4" s="8">
        <v>1.47</v>
      </c>
      <c r="E4" s="28">
        <v>190</v>
      </c>
      <c r="F4" s="29">
        <v>190</v>
      </c>
      <c r="H4" t="s">
        <v>15</v>
      </c>
      <c r="I4" s="15">
        <v>1.1299999999999999</v>
      </c>
      <c r="J4" t="s">
        <v>16</v>
      </c>
    </row>
    <row r="5" spans="1:16" ht="15.75" thickBot="1" x14ac:dyDescent="0.3">
      <c r="C5" s="9">
        <v>1.58</v>
      </c>
      <c r="E5" s="30">
        <v>190</v>
      </c>
      <c r="F5" s="31">
        <v>190</v>
      </c>
    </row>
    <row r="6" spans="1:16" ht="15.75" thickBot="1" x14ac:dyDescent="0.3"/>
    <row r="7" spans="1:16" ht="15.75" thickBot="1" x14ac:dyDescent="0.3">
      <c r="A7" s="2">
        <v>1</v>
      </c>
      <c r="B7" s="16" t="s">
        <v>8</v>
      </c>
      <c r="C7" s="17"/>
      <c r="D7" s="17"/>
      <c r="E7" s="17"/>
      <c r="F7" s="17"/>
      <c r="G7" s="18"/>
      <c r="H7" t="s">
        <v>13</v>
      </c>
      <c r="I7" s="11" t="s">
        <v>10</v>
      </c>
      <c r="J7" s="10"/>
      <c r="K7" s="10"/>
      <c r="L7" s="10"/>
      <c r="N7" s="10"/>
    </row>
    <row r="8" spans="1:16" x14ac:dyDescent="0.25">
      <c r="B8" s="3" t="s">
        <v>0</v>
      </c>
      <c r="C8" s="14">
        <v>265.58999999999997</v>
      </c>
      <c r="D8" t="s">
        <v>3</v>
      </c>
      <c r="E8" s="1" t="s">
        <v>4</v>
      </c>
      <c r="F8">
        <f>C8/3.6</f>
        <v>73.774999999999991</v>
      </c>
      <c r="G8" t="s">
        <v>5</v>
      </c>
    </row>
    <row r="10" spans="1:16" ht="15.75" thickBot="1" x14ac:dyDescent="0.3">
      <c r="B10" t="s">
        <v>1</v>
      </c>
      <c r="E10" t="s">
        <v>2</v>
      </c>
      <c r="H10" s="19" t="s">
        <v>11</v>
      </c>
      <c r="I10" s="19"/>
      <c r="K10" t="s">
        <v>12</v>
      </c>
      <c r="L10" t="s">
        <v>18</v>
      </c>
      <c r="M10" t="s">
        <v>24</v>
      </c>
      <c r="O10" t="s">
        <v>19</v>
      </c>
      <c r="P10" t="s">
        <v>20</v>
      </c>
    </row>
    <row r="11" spans="1:16" x14ac:dyDescent="0.25">
      <c r="B11" s="14">
        <v>10.19</v>
      </c>
      <c r="C11" s="14">
        <v>11.42</v>
      </c>
      <c r="E11" s="4">
        <f>E4*B11</f>
        <v>1936.1</v>
      </c>
      <c r="F11" s="5">
        <f>F4*C11</f>
        <v>2169.8000000000002</v>
      </c>
      <c r="H11" s="4">
        <f>E11/$C$4</f>
        <v>1317.0748299319728</v>
      </c>
      <c r="I11" s="5">
        <f>F11/$C$4</f>
        <v>1476.0544217687077</v>
      </c>
      <c r="K11" s="12">
        <f>(H11+I11)/(0.5*$I$4*($F$8^2))</f>
        <v>0.90828919723479151</v>
      </c>
      <c r="L11">
        <f>K11+K12</f>
        <v>2.1545579128532353</v>
      </c>
      <c r="M11">
        <f>K11/(K11+K12)</f>
        <v>0.4215663880818889</v>
      </c>
      <c r="O11" s="14">
        <v>65.38</v>
      </c>
      <c r="P11" s="14">
        <v>63.83</v>
      </c>
    </row>
    <row r="12" spans="1:16" ht="15.75" thickBot="1" x14ac:dyDescent="0.3">
      <c r="B12" s="14">
        <v>16.399999999999999</v>
      </c>
      <c r="C12" s="14">
        <v>15.47</v>
      </c>
      <c r="E12" s="6">
        <f>E5*B12</f>
        <v>3115.9999999999995</v>
      </c>
      <c r="F12" s="7">
        <f>F5*C12</f>
        <v>2939.3</v>
      </c>
      <c r="H12" s="6">
        <f>E12/$C$5</f>
        <v>1972.1518987341769</v>
      </c>
      <c r="I12" s="7">
        <f>F12/$C$5</f>
        <v>1860.3164556962026</v>
      </c>
      <c r="K12" s="13">
        <f>(H12+I12)/(0.5*$I$4*($F$8^2))</f>
        <v>1.2462687156184438</v>
      </c>
      <c r="O12" s="14"/>
      <c r="P12" s="14"/>
    </row>
    <row r="13" spans="1:16" ht="15.75" thickBot="1" x14ac:dyDescent="0.3"/>
    <row r="14" spans="1:16" ht="15.75" thickBot="1" x14ac:dyDescent="0.3">
      <c r="A14" s="2">
        <v>2</v>
      </c>
      <c r="B14" s="16" t="s">
        <v>8</v>
      </c>
      <c r="C14" s="17"/>
      <c r="D14" s="17"/>
      <c r="E14" s="17"/>
      <c r="F14" s="17"/>
      <c r="G14" s="18"/>
      <c r="H14" t="s">
        <v>14</v>
      </c>
      <c r="I14" s="11" t="s">
        <v>10</v>
      </c>
      <c r="J14" s="10"/>
      <c r="K14" s="10"/>
      <c r="L14" s="10"/>
      <c r="N14" s="10"/>
    </row>
    <row r="15" spans="1:16" x14ac:dyDescent="0.25">
      <c r="B15" s="3" t="s">
        <v>0</v>
      </c>
      <c r="C15" s="14">
        <v>269.5</v>
      </c>
      <c r="D15" t="s">
        <v>3</v>
      </c>
      <c r="E15" s="1" t="s">
        <v>4</v>
      </c>
      <c r="F15">
        <f>C15/3.6</f>
        <v>74.861111111111114</v>
      </c>
      <c r="G15" t="s">
        <v>5</v>
      </c>
    </row>
    <row r="17" spans="1:16" ht="15.75" thickBot="1" x14ac:dyDescent="0.3">
      <c r="B17" t="s">
        <v>1</v>
      </c>
      <c r="E17" t="s">
        <v>2</v>
      </c>
      <c r="H17" s="19" t="s">
        <v>11</v>
      </c>
      <c r="I17" s="19"/>
      <c r="K17" t="s">
        <v>12</v>
      </c>
      <c r="L17" t="s">
        <v>18</v>
      </c>
      <c r="M17" t="s">
        <v>24</v>
      </c>
      <c r="O17" t="s">
        <v>19</v>
      </c>
      <c r="P17" t="s">
        <v>20</v>
      </c>
    </row>
    <row r="18" spans="1:16" x14ac:dyDescent="0.25">
      <c r="B18" s="14">
        <v>9.27</v>
      </c>
      <c r="C18" s="14">
        <v>11.28</v>
      </c>
      <c r="E18" s="4">
        <f>$E$4*B18</f>
        <v>1761.3</v>
      </c>
      <c r="F18" s="5">
        <f>$F$4*C18</f>
        <v>2143.1999999999998</v>
      </c>
      <c r="H18" s="4">
        <f>E18/$C$4</f>
        <v>1198.1632653061224</v>
      </c>
      <c r="I18" s="5">
        <f>F18/$C$4</f>
        <v>1457.9591836734694</v>
      </c>
      <c r="K18" s="12">
        <f>(H18+I18)/(0.5*$I$4*($F$15^2))</f>
        <v>0.83885540484500964</v>
      </c>
      <c r="L18">
        <f>K18+K19</f>
        <v>1.986179868707173</v>
      </c>
      <c r="M18">
        <f>K18/(K18+K19)</f>
        <v>0.42234614198915937</v>
      </c>
      <c r="O18" s="14">
        <v>66.38</v>
      </c>
      <c r="P18" s="14">
        <v>65.23</v>
      </c>
    </row>
    <row r="19" spans="1:16" ht="15.75" thickBot="1" x14ac:dyDescent="0.3">
      <c r="B19" s="14">
        <v>14.51</v>
      </c>
      <c r="C19" s="14">
        <v>15.7</v>
      </c>
      <c r="E19" s="6">
        <f>$E$5*B19</f>
        <v>2756.9</v>
      </c>
      <c r="F19" s="7">
        <f>$F$5*C19</f>
        <v>2983</v>
      </c>
      <c r="H19" s="6">
        <f>E19/$C$5</f>
        <v>1744.873417721519</v>
      </c>
      <c r="I19" s="7">
        <f>F19/$C$5</f>
        <v>1887.9746835443036</v>
      </c>
      <c r="K19" s="13">
        <f>(H19+I19)/(0.5*$I$4*($F$15^2))</f>
        <v>1.1473244638621634</v>
      </c>
      <c r="O19" s="14"/>
      <c r="P19" s="14"/>
    </row>
    <row r="20" spans="1:16" ht="15.75" thickBot="1" x14ac:dyDescent="0.3"/>
    <row r="21" spans="1:16" ht="15.75" thickBot="1" x14ac:dyDescent="0.3">
      <c r="A21" s="2">
        <v>3</v>
      </c>
      <c r="B21" s="16" t="s">
        <v>21</v>
      </c>
      <c r="C21" s="17"/>
      <c r="D21" s="17"/>
      <c r="E21" s="17"/>
      <c r="F21" s="17"/>
      <c r="G21" s="18"/>
      <c r="H21" t="s">
        <v>23</v>
      </c>
      <c r="I21" s="11" t="s">
        <v>10</v>
      </c>
      <c r="J21" s="10"/>
      <c r="K21" s="10"/>
      <c r="L21" s="10"/>
      <c r="N21" s="10"/>
    </row>
    <row r="22" spans="1:16" x14ac:dyDescent="0.25">
      <c r="B22" s="3" t="s">
        <v>0</v>
      </c>
      <c r="C22" s="14">
        <v>264.2</v>
      </c>
      <c r="D22" t="s">
        <v>3</v>
      </c>
      <c r="E22" s="1" t="s">
        <v>4</v>
      </c>
      <c r="F22">
        <f>C22/3.6</f>
        <v>73.388888888888886</v>
      </c>
      <c r="G22" t="s">
        <v>5</v>
      </c>
    </row>
    <row r="24" spans="1:16" ht="15.75" thickBot="1" x14ac:dyDescent="0.3">
      <c r="B24" t="s">
        <v>1</v>
      </c>
      <c r="E24" t="s">
        <v>2</v>
      </c>
      <c r="H24" s="19" t="s">
        <v>11</v>
      </c>
      <c r="I24" s="19"/>
      <c r="K24" t="s">
        <v>12</v>
      </c>
      <c r="L24" t="s">
        <v>18</v>
      </c>
      <c r="M24" t="s">
        <v>24</v>
      </c>
      <c r="O24" t="s">
        <v>19</v>
      </c>
      <c r="P24" t="s">
        <v>20</v>
      </c>
    </row>
    <row r="25" spans="1:16" x14ac:dyDescent="0.25">
      <c r="B25" s="14">
        <v>9.3000000000000007</v>
      </c>
      <c r="C25" s="14">
        <v>5.55</v>
      </c>
      <c r="E25" s="4">
        <f>$E$4*B25</f>
        <v>1767.0000000000002</v>
      </c>
      <c r="F25" s="5">
        <f>$F$4*C25</f>
        <v>1054.5</v>
      </c>
      <c r="H25" s="4">
        <f>E25/$C$4</f>
        <v>1202.0408163265308</v>
      </c>
      <c r="I25" s="5">
        <f>F25/$C$4</f>
        <v>717.34693877551024</v>
      </c>
      <c r="K25" s="12">
        <f>(H25+I25)/(0.5*$I$4*($F$22^2))</f>
        <v>0.63074475386143791</v>
      </c>
      <c r="L25">
        <f>K25+K26</f>
        <v>1.5870638040198486</v>
      </c>
      <c r="M25">
        <f>K25/(K25+K26)</f>
        <v>0.39742873113471217</v>
      </c>
      <c r="O25" s="14">
        <v>72.3</v>
      </c>
      <c r="P25" s="14">
        <v>75.42</v>
      </c>
    </row>
    <row r="26" spans="1:16" ht="15.75" thickBot="1" x14ac:dyDescent="0.3">
      <c r="B26" s="14">
        <v>11.39</v>
      </c>
      <c r="C26" s="14">
        <v>12.81</v>
      </c>
      <c r="E26" s="6">
        <f>$E$5*B26</f>
        <v>2164.1</v>
      </c>
      <c r="F26" s="7">
        <f>$F$5*C26</f>
        <v>2433.9</v>
      </c>
      <c r="H26" s="6">
        <f>E26/$C$5</f>
        <v>1369.6835443037974</v>
      </c>
      <c r="I26" s="7">
        <f>F26/$C$5</f>
        <v>1540.4430379746834</v>
      </c>
      <c r="K26" s="13">
        <f>(H26+I26)/(0.5*$I$4*($F$22^2))</f>
        <v>0.95631905015841068</v>
      </c>
      <c r="O26" s="14"/>
      <c r="P26" s="14"/>
    </row>
    <row r="27" spans="1:16" ht="15.75" thickBot="1" x14ac:dyDescent="0.3"/>
    <row r="28" spans="1:16" ht="15.75" thickBot="1" x14ac:dyDescent="0.3">
      <c r="A28" s="2">
        <v>4</v>
      </c>
      <c r="B28" s="16" t="s">
        <v>21</v>
      </c>
      <c r="C28" s="17"/>
      <c r="D28" s="17"/>
      <c r="E28" s="17"/>
      <c r="F28" s="17"/>
      <c r="G28" s="18"/>
      <c r="H28" t="s">
        <v>22</v>
      </c>
      <c r="I28" s="11" t="s">
        <v>10</v>
      </c>
      <c r="J28" s="10"/>
      <c r="K28" s="10"/>
      <c r="L28" s="10"/>
      <c r="N28" s="10"/>
    </row>
    <row r="29" spans="1:16" x14ac:dyDescent="0.25">
      <c r="B29" s="3" t="s">
        <v>0</v>
      </c>
      <c r="C29" s="14">
        <v>264.7</v>
      </c>
      <c r="D29" t="s">
        <v>3</v>
      </c>
      <c r="E29" s="1" t="s">
        <v>4</v>
      </c>
      <c r="F29">
        <f>C29/3.6</f>
        <v>73.527777777777771</v>
      </c>
      <c r="G29" t="s">
        <v>5</v>
      </c>
    </row>
    <row r="31" spans="1:16" ht="15.75" thickBot="1" x14ac:dyDescent="0.3">
      <c r="B31" t="s">
        <v>1</v>
      </c>
      <c r="E31" t="s">
        <v>2</v>
      </c>
      <c r="H31" s="19" t="s">
        <v>11</v>
      </c>
      <c r="I31" s="19"/>
      <c r="K31" t="s">
        <v>12</v>
      </c>
      <c r="L31" t="s">
        <v>18</v>
      </c>
      <c r="M31" t="s">
        <v>24</v>
      </c>
      <c r="O31" t="s">
        <v>19</v>
      </c>
      <c r="P31" t="s">
        <v>20</v>
      </c>
    </row>
    <row r="32" spans="1:16" x14ac:dyDescent="0.25">
      <c r="B32" s="14">
        <v>9.01</v>
      </c>
      <c r="C32" s="14">
        <v>5.84</v>
      </c>
      <c r="E32" s="4">
        <f>$E$4*B32</f>
        <v>1711.8999999999999</v>
      </c>
      <c r="F32" s="5">
        <f>$F$4*C32</f>
        <v>1109.5999999999999</v>
      </c>
      <c r="H32" s="4">
        <f>E32/$C$4</f>
        <v>1164.5578231292516</v>
      </c>
      <c r="I32" s="5">
        <f>F32/$C$4</f>
        <v>754.82993197278904</v>
      </c>
      <c r="K32" s="12">
        <f>(H32+I32)/(0.5*$I$4*($F$29^2))</f>
        <v>0.62836413792927071</v>
      </c>
      <c r="L32">
        <f>K32+K33</f>
        <v>1.5578465411117204</v>
      </c>
      <c r="M32">
        <f>K32/(K32+K33)</f>
        <v>0.40335432364272122</v>
      </c>
      <c r="O32" s="14">
        <v>69.7</v>
      </c>
      <c r="P32" s="14">
        <v>71.41</v>
      </c>
    </row>
    <row r="33" spans="1:16" ht="15.75" thickBot="1" x14ac:dyDescent="0.3">
      <c r="B33" s="14">
        <v>11.09</v>
      </c>
      <c r="C33" s="14">
        <v>12.52</v>
      </c>
      <c r="E33" s="6">
        <f>$E$5*B33</f>
        <v>2107.1</v>
      </c>
      <c r="F33" s="7">
        <f>$F$5*C33</f>
        <v>2378.7999999999997</v>
      </c>
      <c r="H33" s="6">
        <f>E33/$C$5</f>
        <v>1333.6075949367087</v>
      </c>
      <c r="I33" s="7">
        <f>F33/$C$5</f>
        <v>1505.5696202531642</v>
      </c>
      <c r="K33" s="13">
        <f>(H33+I33)/(0.5*$I$4*($F$29^2))</f>
        <v>0.92948240318244979</v>
      </c>
      <c r="O33" s="14"/>
      <c r="P33" s="14"/>
    </row>
    <row r="34" spans="1:16" ht="15.75" thickBot="1" x14ac:dyDescent="0.3"/>
    <row r="35" spans="1:16" ht="15.75" thickBot="1" x14ac:dyDescent="0.3">
      <c r="A35" s="2">
        <v>5</v>
      </c>
      <c r="B35" s="16" t="s">
        <v>21</v>
      </c>
      <c r="C35" s="17"/>
      <c r="D35" s="17"/>
      <c r="E35" s="17"/>
      <c r="F35" s="17"/>
      <c r="G35" s="18"/>
      <c r="H35" t="s">
        <v>17</v>
      </c>
      <c r="I35" s="11" t="s">
        <v>10</v>
      </c>
      <c r="J35" s="10"/>
      <c r="K35" s="10"/>
      <c r="L35" s="10"/>
      <c r="N35" s="10"/>
    </row>
    <row r="36" spans="1:16" x14ac:dyDescent="0.25">
      <c r="B36" s="3" t="s">
        <v>0</v>
      </c>
      <c r="C36" s="14">
        <v>264.76</v>
      </c>
      <c r="D36" t="s">
        <v>3</v>
      </c>
      <c r="E36" s="1" t="s">
        <v>4</v>
      </c>
      <c r="F36">
        <f>C36/3.6</f>
        <v>73.544444444444437</v>
      </c>
      <c r="G36" t="s">
        <v>5</v>
      </c>
    </row>
    <row r="38" spans="1:16" ht="15.75" thickBot="1" x14ac:dyDescent="0.3">
      <c r="B38" t="s">
        <v>1</v>
      </c>
      <c r="E38" t="s">
        <v>2</v>
      </c>
      <c r="H38" s="19" t="s">
        <v>11</v>
      </c>
      <c r="I38" s="19"/>
      <c r="K38" t="s">
        <v>12</v>
      </c>
      <c r="L38" t="s">
        <v>18</v>
      </c>
      <c r="M38" t="s">
        <v>24</v>
      </c>
      <c r="O38" t="s">
        <v>19</v>
      </c>
      <c r="P38" t="s">
        <v>20</v>
      </c>
    </row>
    <row r="39" spans="1:16" x14ac:dyDescent="0.25">
      <c r="B39" s="14">
        <v>12.37</v>
      </c>
      <c r="C39" s="14">
        <v>9.6999999999999993</v>
      </c>
      <c r="E39" s="4">
        <f>$E$4*B39</f>
        <v>2350.2999999999997</v>
      </c>
      <c r="F39" s="5">
        <f>$F$4*C39</f>
        <v>1842.9999999999998</v>
      </c>
      <c r="H39" s="4">
        <f>E39/$C$4</f>
        <v>1598.8435374149658</v>
      </c>
      <c r="I39" s="5">
        <f>F39/$C$4</f>
        <v>1253.7414965986393</v>
      </c>
      <c r="K39" s="12">
        <f>(H39+I39)/(0.5*$I$4*($F$29^2))</f>
        <v>0.93387181980464673</v>
      </c>
      <c r="L39">
        <f>K39+K40</f>
        <v>2.1251525279918946</v>
      </c>
      <c r="M39">
        <f>K39/(K39+K40)</f>
        <v>0.43943754977770166</v>
      </c>
      <c r="O39" s="14">
        <v>63.26</v>
      </c>
      <c r="P39" s="14">
        <v>65.89</v>
      </c>
    </row>
    <row r="40" spans="1:16" ht="15.75" thickBot="1" x14ac:dyDescent="0.3">
      <c r="B40" s="14">
        <v>13.87</v>
      </c>
      <c r="C40" s="14">
        <v>16.39</v>
      </c>
      <c r="E40" s="6">
        <f>$E$5*B40</f>
        <v>2635.2999999999997</v>
      </c>
      <c r="F40" s="7">
        <f>$F$5*C40</f>
        <v>3114.1</v>
      </c>
      <c r="H40" s="6">
        <f>E40/$C$5</f>
        <v>1667.911392405063</v>
      </c>
      <c r="I40" s="7">
        <f>F40/$C$5</f>
        <v>1970.9493670886075</v>
      </c>
      <c r="K40" s="13">
        <f>(H40+I40)/(0.5*$I$4*($F$29^2))</f>
        <v>1.1912807081872481</v>
      </c>
      <c r="O40" s="14"/>
      <c r="P40" s="14"/>
    </row>
    <row r="41" spans="1:16" ht="15.75" thickBot="1" x14ac:dyDescent="0.3"/>
    <row r="42" spans="1:16" ht="15.75" thickBot="1" x14ac:dyDescent="0.3">
      <c r="A42" s="2">
        <v>6</v>
      </c>
      <c r="B42" s="16" t="s">
        <v>21</v>
      </c>
      <c r="C42" s="17"/>
      <c r="D42" s="17"/>
      <c r="E42" s="17"/>
      <c r="F42" s="17"/>
      <c r="G42" s="18"/>
      <c r="H42" t="s">
        <v>14</v>
      </c>
      <c r="I42" s="11" t="s">
        <v>10</v>
      </c>
      <c r="J42" s="10"/>
      <c r="K42" s="10"/>
      <c r="L42" s="10"/>
      <c r="N42" s="10"/>
    </row>
    <row r="43" spans="1:16" x14ac:dyDescent="0.25">
      <c r="B43" s="3" t="s">
        <v>0</v>
      </c>
      <c r="C43" s="14">
        <v>267.22000000000003</v>
      </c>
      <c r="D43" t="s">
        <v>3</v>
      </c>
      <c r="E43" s="1" t="s">
        <v>4</v>
      </c>
      <c r="F43">
        <f>C43/3.6</f>
        <v>74.227777777777789</v>
      </c>
      <c r="G43" t="s">
        <v>5</v>
      </c>
    </row>
    <row r="45" spans="1:16" ht="15.75" thickBot="1" x14ac:dyDescent="0.3">
      <c r="B45" t="s">
        <v>1</v>
      </c>
      <c r="E45" t="s">
        <v>2</v>
      </c>
      <c r="H45" s="19" t="s">
        <v>11</v>
      </c>
      <c r="I45" s="19"/>
      <c r="K45" t="s">
        <v>12</v>
      </c>
      <c r="L45" t="s">
        <v>18</v>
      </c>
      <c r="M45" t="s">
        <v>24</v>
      </c>
      <c r="O45" t="s">
        <v>19</v>
      </c>
      <c r="P45" t="s">
        <v>20</v>
      </c>
    </row>
    <row r="46" spans="1:16" x14ac:dyDescent="0.25">
      <c r="B46" s="14">
        <v>11.26</v>
      </c>
      <c r="C46" s="14">
        <v>9</v>
      </c>
      <c r="E46" s="4">
        <f>$E$4*B46</f>
        <v>2139.4</v>
      </c>
      <c r="F46" s="5">
        <f>$F$4*C46</f>
        <v>1710</v>
      </c>
      <c r="H46" s="4">
        <f>E46/$C$4</f>
        <v>1455.3741496598641</v>
      </c>
      <c r="I46" s="5">
        <f>F46/$C$4</f>
        <v>1163.2653061224489</v>
      </c>
      <c r="K46" s="12">
        <f>(H46+I46)/(0.5*$I$4*($F$29^2))</f>
        <v>0.85728332891899173</v>
      </c>
      <c r="L46">
        <f>K46+K47</f>
        <v>2.0599808052944195</v>
      </c>
      <c r="M46">
        <f>K46/(K46+K47)</f>
        <v>0.41616083349692468</v>
      </c>
      <c r="O46" s="14">
        <v>72.319999999999993</v>
      </c>
      <c r="P46" s="14">
        <v>72.88</v>
      </c>
    </row>
    <row r="47" spans="1:16" ht="15.75" thickBot="1" x14ac:dyDescent="0.3">
      <c r="B47" s="14">
        <v>14.48</v>
      </c>
      <c r="C47" s="14">
        <v>16.07</v>
      </c>
      <c r="E47" s="6">
        <f>$E$5*B47</f>
        <v>2751.2000000000003</v>
      </c>
      <c r="F47" s="7">
        <f>$F$5*C47</f>
        <v>3053.3</v>
      </c>
      <c r="H47" s="6">
        <f>E47/$C$5</f>
        <v>1741.2658227848103</v>
      </c>
      <c r="I47" s="7">
        <f>F47/$C$5</f>
        <v>1932.4683544303798</v>
      </c>
      <c r="K47" s="13">
        <f>(H47+I47)/(0.5*$I$4*($F$29^2))</f>
        <v>1.2026974763754277</v>
      </c>
      <c r="O47" s="14"/>
      <c r="P47" s="14"/>
    </row>
    <row r="49" spans="1:22" x14ac:dyDescent="0.25">
      <c r="A49" s="20" t="s">
        <v>38</v>
      </c>
      <c r="B49" s="20"/>
      <c r="C49" s="20"/>
      <c r="D49" s="20"/>
      <c r="E49" s="20"/>
      <c r="F49" s="20"/>
      <c r="G49" s="20"/>
      <c r="H49" s="20"/>
      <c r="I49" s="20"/>
    </row>
    <row r="50" spans="1:22" s="22" customFormat="1" x14ac:dyDescent="0.25">
      <c r="A50" s="21"/>
      <c r="B50" s="21"/>
      <c r="C50" s="21"/>
      <c r="D50" s="21"/>
      <c r="E50" s="21"/>
      <c r="F50" s="21"/>
      <c r="G50" s="21"/>
      <c r="H50" s="21"/>
      <c r="I50" s="21"/>
    </row>
    <row r="51" spans="1:22" s="22" customFormat="1" ht="15.75" thickBot="1" x14ac:dyDescent="0.3">
      <c r="A51" s="21"/>
      <c r="B51"/>
      <c r="C51"/>
      <c r="D51"/>
      <c r="E51" s="3" t="s">
        <v>6</v>
      </c>
      <c r="F51" s="3" t="s">
        <v>7</v>
      </c>
      <c r="G51"/>
      <c r="H51"/>
      <c r="I51"/>
      <c r="J51"/>
    </row>
    <row r="52" spans="1:22" s="22" customFormat="1" ht="15.75" thickBot="1" x14ac:dyDescent="0.3">
      <c r="A52" s="21"/>
      <c r="B52" s="3" t="s">
        <v>9</v>
      </c>
      <c r="C52" s="8">
        <v>1.47</v>
      </c>
      <c r="D52"/>
      <c r="E52" s="28">
        <v>190</v>
      </c>
      <c r="F52" s="29">
        <v>190</v>
      </c>
      <c r="G52"/>
      <c r="H52" t="s">
        <v>15</v>
      </c>
      <c r="I52" s="15">
        <v>1.1299999999999999</v>
      </c>
      <c r="J52" t="s">
        <v>16</v>
      </c>
    </row>
    <row r="53" spans="1:22" s="22" customFormat="1" ht="15.75" thickBot="1" x14ac:dyDescent="0.3">
      <c r="A53" s="21"/>
      <c r="B53"/>
      <c r="C53" s="9">
        <v>1.58</v>
      </c>
      <c r="D53"/>
      <c r="E53" s="30">
        <v>190</v>
      </c>
      <c r="F53" s="31">
        <v>190</v>
      </c>
      <c r="G53"/>
      <c r="H53"/>
      <c r="I53"/>
      <c r="J53"/>
    </row>
    <row r="54" spans="1:22" ht="15.75" thickBot="1" x14ac:dyDescent="0.3"/>
    <row r="55" spans="1:22" ht="15.75" thickBot="1" x14ac:dyDescent="0.3">
      <c r="A55" s="2">
        <v>1</v>
      </c>
      <c r="B55" s="16" t="s">
        <v>37</v>
      </c>
      <c r="C55" s="17"/>
      <c r="D55" s="17"/>
      <c r="E55" s="17"/>
      <c r="F55" s="17"/>
      <c r="G55" s="18"/>
      <c r="H55" t="s">
        <v>17</v>
      </c>
      <c r="I55" s="11" t="s">
        <v>36</v>
      </c>
      <c r="J55" s="10"/>
      <c r="K55" s="10"/>
      <c r="L55" s="10"/>
      <c r="N55" s="10"/>
    </row>
    <row r="56" spans="1:22" x14ac:dyDescent="0.25">
      <c r="B56" s="3" t="s">
        <v>0</v>
      </c>
      <c r="C56" s="14">
        <v>256.06</v>
      </c>
      <c r="D56" t="s">
        <v>3</v>
      </c>
      <c r="E56" s="1" t="s">
        <v>4</v>
      </c>
      <c r="F56">
        <f>C56/3.6</f>
        <v>71.12777777777778</v>
      </c>
      <c r="G56" t="s">
        <v>5</v>
      </c>
    </row>
    <row r="58" spans="1:22" ht="15.75" thickBot="1" x14ac:dyDescent="0.3">
      <c r="B58" t="s">
        <v>1</v>
      </c>
      <c r="E58" t="s">
        <v>2</v>
      </c>
      <c r="H58" s="19" t="s">
        <v>11</v>
      </c>
      <c r="I58" s="19"/>
      <c r="K58" t="s">
        <v>12</v>
      </c>
      <c r="L58" t="s">
        <v>18</v>
      </c>
      <c r="M58" t="s">
        <v>24</v>
      </c>
      <c r="O58" t="s">
        <v>19</v>
      </c>
      <c r="P58" t="s">
        <v>20</v>
      </c>
      <c r="R58" s="25" t="s">
        <v>26</v>
      </c>
      <c r="T58" t="s">
        <v>29</v>
      </c>
      <c r="U58" t="s">
        <v>30</v>
      </c>
      <c r="V58" t="s">
        <v>24</v>
      </c>
    </row>
    <row r="59" spans="1:22" x14ac:dyDescent="0.25">
      <c r="B59" s="14">
        <v>11.83</v>
      </c>
      <c r="C59" s="14">
        <v>10.55</v>
      </c>
      <c r="E59" s="4">
        <f>$E$52*B59</f>
        <v>2247.6999999999998</v>
      </c>
      <c r="F59" s="5">
        <f>$F$52*C59</f>
        <v>2004.5000000000002</v>
      </c>
      <c r="H59" s="4">
        <f>E59/$C$52</f>
        <v>1529.047619047619</v>
      </c>
      <c r="I59" s="5">
        <f>F59/$C$52</f>
        <v>1363.6054421768708</v>
      </c>
      <c r="K59" s="12">
        <f>(H59+I59)/(0.5*$I$4*($F$56^2))</f>
        <v>1.0119741519395562</v>
      </c>
      <c r="L59">
        <f>K59+K60</f>
        <v>2.4027989794525073</v>
      </c>
      <c r="M59">
        <f>K59/(K59+K60)</f>
        <v>0.42116471689618445</v>
      </c>
      <c r="O59" s="14">
        <v>64.680000000000007</v>
      </c>
      <c r="P59" s="14">
        <v>67.86</v>
      </c>
      <c r="R59" s="14"/>
      <c r="S59" s="14"/>
      <c r="T59" s="26">
        <f>(R59+S59)/(0.5*$I$4*($F$56^2))</f>
        <v>0</v>
      </c>
      <c r="U59" s="26">
        <f>T59+T60</f>
        <v>0.94142725907011404</v>
      </c>
      <c r="V59" s="26">
        <f>T59/(T59+T60)</f>
        <v>0</v>
      </c>
    </row>
    <row r="60" spans="1:22" ht="15.75" thickBot="1" x14ac:dyDescent="0.3">
      <c r="B60" s="14">
        <v>17.57</v>
      </c>
      <c r="C60" s="14">
        <v>15.49</v>
      </c>
      <c r="E60" s="6">
        <f>$E$53*B60</f>
        <v>3338.3</v>
      </c>
      <c r="F60" s="7">
        <f>$F$53*C60</f>
        <v>2943.1</v>
      </c>
      <c r="H60" s="6">
        <f>E60/$C$53</f>
        <v>2112.8481012658226</v>
      </c>
      <c r="I60" s="7">
        <f>F60/$C$53</f>
        <v>1862.7215189873416</v>
      </c>
      <c r="K60" s="13">
        <f>(H60+I60)/(0.5*$I$4*($F$56^2))</f>
        <v>1.3908248275129509</v>
      </c>
      <c r="O60" s="27">
        <v>79.53</v>
      </c>
      <c r="P60" s="14">
        <v>86.97</v>
      </c>
      <c r="R60" s="14"/>
      <c r="S60" s="14">
        <v>2691</v>
      </c>
      <c r="T60" s="26">
        <f>(R60+S60)/(0.5*$I$4*($F$56^2))</f>
        <v>0.94142725907011404</v>
      </c>
      <c r="U60" s="26"/>
      <c r="V60" s="26"/>
    </row>
    <row r="62" spans="1:22" ht="15.75" thickBot="1" x14ac:dyDescent="0.3"/>
    <row r="63" spans="1:22" ht="15.75" thickBot="1" x14ac:dyDescent="0.3">
      <c r="A63" s="2">
        <v>2</v>
      </c>
      <c r="B63" s="16" t="s">
        <v>37</v>
      </c>
      <c r="C63" s="17"/>
      <c r="D63" s="17"/>
      <c r="E63" s="17"/>
      <c r="F63" s="17"/>
      <c r="G63" s="18"/>
      <c r="H63" t="s">
        <v>13</v>
      </c>
      <c r="I63" s="11" t="s">
        <v>36</v>
      </c>
      <c r="J63" s="10"/>
      <c r="K63" s="10"/>
      <c r="L63" s="10"/>
      <c r="N63" s="10"/>
    </row>
    <row r="64" spans="1:22" x14ac:dyDescent="0.25">
      <c r="B64" s="3" t="s">
        <v>0</v>
      </c>
      <c r="C64" s="14">
        <v>253.56</v>
      </c>
      <c r="D64" t="s">
        <v>3</v>
      </c>
      <c r="E64" s="1" t="s">
        <v>4</v>
      </c>
      <c r="F64">
        <f>C64/3.6</f>
        <v>70.433333333333337</v>
      </c>
      <c r="G64" t="s">
        <v>5</v>
      </c>
    </row>
    <row r="66" spans="1:22" ht="15.75" thickBot="1" x14ac:dyDescent="0.3">
      <c r="B66" t="s">
        <v>1</v>
      </c>
      <c r="E66" t="s">
        <v>2</v>
      </c>
      <c r="H66" s="19" t="s">
        <v>11</v>
      </c>
      <c r="I66" s="19"/>
      <c r="K66" t="s">
        <v>12</v>
      </c>
      <c r="L66" t="s">
        <v>18</v>
      </c>
      <c r="M66" t="s">
        <v>24</v>
      </c>
      <c r="O66" t="s">
        <v>19</v>
      </c>
      <c r="P66" t="s">
        <v>20</v>
      </c>
      <c r="R66" s="25" t="s">
        <v>26</v>
      </c>
      <c r="T66" t="s">
        <v>29</v>
      </c>
      <c r="U66" t="s">
        <v>30</v>
      </c>
      <c r="V66" t="s">
        <v>24</v>
      </c>
    </row>
    <row r="67" spans="1:22" x14ac:dyDescent="0.25">
      <c r="B67" s="14">
        <v>11.72</v>
      </c>
      <c r="C67" s="14">
        <v>10.69</v>
      </c>
      <c r="E67" s="4">
        <f>$E$52*B67</f>
        <v>2226.8000000000002</v>
      </c>
      <c r="F67" s="5">
        <f>$F$52*C67</f>
        <v>2031.1</v>
      </c>
      <c r="H67" s="4">
        <f>E67/$C$52</f>
        <v>1514.8299319727892</v>
      </c>
      <c r="I67" s="5">
        <f>F67/$C$52</f>
        <v>1381.7006802721089</v>
      </c>
      <c r="K67" s="12">
        <f>(H67+I67)/(0.5*$I$4*($F$64^2))</f>
        <v>1.0334112623021963</v>
      </c>
      <c r="L67">
        <f>K67+K68</f>
        <v>2.3865840966247625</v>
      </c>
      <c r="M67">
        <f>K67/(K67+K68)</f>
        <v>0.43300852618757618</v>
      </c>
      <c r="O67" s="14">
        <v>64.45</v>
      </c>
      <c r="P67" s="14">
        <v>66.92</v>
      </c>
      <c r="R67" s="14"/>
      <c r="S67" s="14"/>
      <c r="T67" s="26">
        <f>(R67+S67)/(0.5*$I$4*($F$56^2))</f>
        <v>0</v>
      </c>
      <c r="U67" s="26">
        <f>T67+T68</f>
        <v>0.88930066613014858</v>
      </c>
      <c r="V67" s="26">
        <f>T67/(T67+T68)</f>
        <v>0</v>
      </c>
    </row>
    <row r="68" spans="1:22" ht="15.75" thickBot="1" x14ac:dyDescent="0.3">
      <c r="B68" s="14">
        <v>16.75</v>
      </c>
      <c r="C68" s="14">
        <v>14.79</v>
      </c>
      <c r="E68" s="6">
        <f>$E$53*B68</f>
        <v>3182.5</v>
      </c>
      <c r="F68" s="7">
        <f>$F$53*C68</f>
        <v>2810.1</v>
      </c>
      <c r="H68" s="6">
        <f>E68/$C$53</f>
        <v>2014.2405063291139</v>
      </c>
      <c r="I68" s="7">
        <f>F68/$C$53</f>
        <v>1778.5443037974683</v>
      </c>
      <c r="K68" s="13">
        <f>(H68+I68)/(0.5*$I$4*($F$64^2))</f>
        <v>1.3531728343225662</v>
      </c>
      <c r="O68" s="27">
        <v>80.73</v>
      </c>
      <c r="P68" s="14">
        <v>86.92</v>
      </c>
      <c r="R68" s="14"/>
      <c r="S68" s="14">
        <v>2542</v>
      </c>
      <c r="T68" s="26">
        <f>(R68+S68)/(0.5*$I$4*($F$56^2))</f>
        <v>0.88930066613014858</v>
      </c>
      <c r="U68" s="26"/>
      <c r="V68" s="26"/>
    </row>
    <row r="70" spans="1:22" x14ac:dyDescent="0.25">
      <c r="A70" s="20" t="s">
        <v>39</v>
      </c>
      <c r="B70" s="20"/>
      <c r="C70" s="20"/>
      <c r="D70" s="20"/>
      <c r="E70" s="20"/>
      <c r="F70" s="20"/>
      <c r="G70" s="20"/>
      <c r="H70" s="20"/>
      <c r="I70" s="20"/>
    </row>
    <row r="71" spans="1:22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22" ht="15.75" thickBot="1" x14ac:dyDescent="0.3">
      <c r="A72" s="21"/>
      <c r="E72" s="3" t="s">
        <v>6</v>
      </c>
      <c r="F72" s="3" t="s">
        <v>7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1:22" ht="15.75" thickBot="1" x14ac:dyDescent="0.3">
      <c r="A73" s="21"/>
      <c r="B73" s="3" t="s">
        <v>9</v>
      </c>
      <c r="C73" s="8">
        <v>1.47</v>
      </c>
      <c r="E73" s="28">
        <v>190</v>
      </c>
      <c r="F73" s="29">
        <v>190</v>
      </c>
      <c r="H73" t="s">
        <v>15</v>
      </c>
      <c r="I73" s="15">
        <v>1.1299999999999999</v>
      </c>
      <c r="J73" t="s">
        <v>16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22" ht="15.75" thickBot="1" x14ac:dyDescent="0.3">
      <c r="A74" s="21"/>
      <c r="C74" s="9">
        <v>1.58</v>
      </c>
      <c r="E74" s="30">
        <v>190</v>
      </c>
      <c r="F74" s="31">
        <v>190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1:22" ht="15.75" thickBot="1" x14ac:dyDescent="0.3"/>
    <row r="76" spans="1:22" ht="15.75" thickBot="1" x14ac:dyDescent="0.3">
      <c r="A76" s="2">
        <v>1</v>
      </c>
      <c r="B76" s="16" t="s">
        <v>40</v>
      </c>
      <c r="C76" s="17"/>
      <c r="D76" s="17"/>
      <c r="E76" s="17"/>
      <c r="F76" s="17"/>
      <c r="G76" s="18"/>
      <c r="H76" t="s">
        <v>13</v>
      </c>
      <c r="I76" s="11" t="s">
        <v>36</v>
      </c>
      <c r="J76" s="10"/>
      <c r="K76" s="10"/>
      <c r="L76" s="10"/>
      <c r="N76" s="10"/>
    </row>
    <row r="77" spans="1:22" x14ac:dyDescent="0.25">
      <c r="B77" s="3" t="s">
        <v>0</v>
      </c>
      <c r="C77" s="14">
        <v>256.10000000000002</v>
      </c>
      <c r="D77" t="s">
        <v>3</v>
      </c>
      <c r="E77" s="1" t="s">
        <v>4</v>
      </c>
      <c r="F77">
        <f>C77/3.6</f>
        <v>71.1388888888889</v>
      </c>
      <c r="G77" t="s">
        <v>5</v>
      </c>
    </row>
    <row r="79" spans="1:22" ht="15.75" thickBot="1" x14ac:dyDescent="0.3">
      <c r="B79" t="s">
        <v>1</v>
      </c>
      <c r="E79" t="s">
        <v>2</v>
      </c>
      <c r="H79" s="19" t="s">
        <v>11</v>
      </c>
      <c r="I79" s="19"/>
      <c r="K79" t="s">
        <v>12</v>
      </c>
      <c r="L79" t="s">
        <v>18</v>
      </c>
      <c r="M79" t="s">
        <v>24</v>
      </c>
      <c r="O79" t="s">
        <v>19</v>
      </c>
      <c r="P79" t="s">
        <v>20</v>
      </c>
      <c r="R79" s="25" t="s">
        <v>26</v>
      </c>
      <c r="T79" t="s">
        <v>29</v>
      </c>
      <c r="U79" t="s">
        <v>30</v>
      </c>
      <c r="V79" t="s">
        <v>24</v>
      </c>
    </row>
    <row r="80" spans="1:22" x14ac:dyDescent="0.25">
      <c r="B80" s="14">
        <v>8.36</v>
      </c>
      <c r="C80" s="14">
        <v>7.8</v>
      </c>
      <c r="E80" s="4">
        <f>$E$52*B80</f>
        <v>1588.3999999999999</v>
      </c>
      <c r="F80" s="5">
        <f>$F$52*C80</f>
        <v>1482</v>
      </c>
      <c r="H80" s="4">
        <f>E80/$C$52</f>
        <v>1080.5442176870747</v>
      </c>
      <c r="I80" s="5">
        <f>F80/$C$52</f>
        <v>1008.1632653061224</v>
      </c>
      <c r="K80" s="12">
        <f>(H80+I80)/(0.5*$I$4*($F$56^2))</f>
        <v>0.73071949487681986</v>
      </c>
      <c r="L80">
        <f>K80+K81</f>
        <v>2.1955870234309924</v>
      </c>
      <c r="M80">
        <f>K80/(K80+K81)</f>
        <v>0.33281281364786974</v>
      </c>
      <c r="O80" s="14">
        <v>70.400000000000006</v>
      </c>
      <c r="P80" s="14">
        <v>72.67</v>
      </c>
      <c r="R80" s="14"/>
      <c r="S80" s="14"/>
      <c r="T80" s="26">
        <f>(R80+S80)/(0.5*$I$4*($F$56^2))</f>
        <v>0</v>
      </c>
      <c r="U80" s="26">
        <f>T80+T81</f>
        <v>0.97431249220002514</v>
      </c>
      <c r="V80" s="26">
        <f>T80/(T80+T81)</f>
        <v>0</v>
      </c>
    </row>
    <row r="81" spans="1:22" ht="15.75" thickBot="1" x14ac:dyDescent="0.3">
      <c r="B81" s="14">
        <v>17.05</v>
      </c>
      <c r="C81" s="14">
        <v>17.77</v>
      </c>
      <c r="E81" s="6">
        <f>$E$53*B81</f>
        <v>3239.5</v>
      </c>
      <c r="F81" s="7">
        <f>$F$53*C81</f>
        <v>3376.2999999999997</v>
      </c>
      <c r="H81" s="6">
        <f>E81/$C$53</f>
        <v>2050.3164556962024</v>
      </c>
      <c r="I81" s="7">
        <f>F81/$C$53</f>
        <v>2136.8987341772149</v>
      </c>
      <c r="K81" s="13">
        <f>(H81+I81)/(0.5*$I$4*($F$56^2))</f>
        <v>1.4648675285541726</v>
      </c>
      <c r="O81" s="27">
        <v>83.36</v>
      </c>
      <c r="P81" s="23"/>
      <c r="R81" s="14"/>
      <c r="S81" s="14">
        <v>2785</v>
      </c>
      <c r="T81" s="26">
        <f>(R81+S81)/(0.5*$I$4*($F$56^2))</f>
        <v>0.97431249220002514</v>
      </c>
      <c r="U81" s="26"/>
      <c r="V81" s="26"/>
    </row>
    <row r="83" spans="1:22" ht="15.75" thickBot="1" x14ac:dyDescent="0.3"/>
    <row r="84" spans="1:22" ht="15.75" thickBot="1" x14ac:dyDescent="0.3">
      <c r="A84" s="2">
        <v>2</v>
      </c>
      <c r="B84" s="16" t="s">
        <v>41</v>
      </c>
      <c r="C84" s="17"/>
      <c r="D84" s="17"/>
      <c r="E84" s="17"/>
      <c r="F84" s="17"/>
      <c r="G84" s="18"/>
      <c r="H84" t="s">
        <v>13</v>
      </c>
      <c r="I84" s="11" t="s">
        <v>36</v>
      </c>
      <c r="J84" s="10"/>
      <c r="K84" s="10"/>
      <c r="L84" s="10"/>
      <c r="N84" s="10"/>
    </row>
    <row r="85" spans="1:22" x14ac:dyDescent="0.25">
      <c r="B85" s="3" t="s">
        <v>0</v>
      </c>
      <c r="C85" s="14">
        <v>248.93</v>
      </c>
      <c r="D85" t="s">
        <v>3</v>
      </c>
      <c r="E85" s="1" t="s">
        <v>4</v>
      </c>
      <c r="F85">
        <f>C85/3.6</f>
        <v>69.147222222222226</v>
      </c>
      <c r="G85" t="s">
        <v>5</v>
      </c>
    </row>
    <row r="87" spans="1:22" ht="15.75" thickBot="1" x14ac:dyDescent="0.3">
      <c r="B87" t="s">
        <v>1</v>
      </c>
      <c r="C87" s="32">
        <v>9.0500000000000007</v>
      </c>
      <c r="E87" t="s">
        <v>2</v>
      </c>
      <c r="H87" s="19" t="s">
        <v>11</v>
      </c>
      <c r="I87" s="19"/>
      <c r="K87" t="s">
        <v>12</v>
      </c>
      <c r="L87" t="s">
        <v>18</v>
      </c>
      <c r="M87" t="s">
        <v>24</v>
      </c>
      <c r="O87" t="s">
        <v>19</v>
      </c>
      <c r="P87" t="s">
        <v>20</v>
      </c>
      <c r="R87" s="25" t="s">
        <v>26</v>
      </c>
      <c r="T87" t="s">
        <v>29</v>
      </c>
      <c r="U87" t="s">
        <v>30</v>
      </c>
      <c r="V87" t="s">
        <v>24</v>
      </c>
    </row>
    <row r="88" spans="1:22" x14ac:dyDescent="0.25">
      <c r="B88" s="14">
        <v>9.3800000000000008</v>
      </c>
      <c r="C88" s="14">
        <v>4.95</v>
      </c>
      <c r="E88" s="4">
        <f>$E$52*B88</f>
        <v>1782.2</v>
      </c>
      <c r="F88" s="5">
        <f>$F$52*C88</f>
        <v>940.5</v>
      </c>
      <c r="H88" s="4">
        <f>E88/$C$52</f>
        <v>1212.3809523809525</v>
      </c>
      <c r="I88" s="5">
        <f>F88/$C$52</f>
        <v>639.79591836734699</v>
      </c>
      <c r="K88" s="12">
        <f>(H88+I88)/(0.5*$I$4*($F$64^2))</f>
        <v>0.66081139619770068</v>
      </c>
      <c r="L88">
        <f>K88+K89</f>
        <v>1.9131612704486742</v>
      </c>
      <c r="M88">
        <f>K88/(K88+K89)</f>
        <v>0.34540287136521813</v>
      </c>
      <c r="O88" s="14">
        <v>67.319999999999993</v>
      </c>
      <c r="P88" s="14">
        <v>70.83</v>
      </c>
      <c r="R88" s="14"/>
      <c r="S88" s="14"/>
      <c r="T88" s="26">
        <f>(R88+S88)/(0.5*$I$4*($F$56^2))</f>
        <v>0</v>
      </c>
      <c r="U88" s="26">
        <f>T88+T89</f>
        <v>1.174072791318953</v>
      </c>
      <c r="V88" s="26">
        <f>T88/(T88+T89)</f>
        <v>0</v>
      </c>
    </row>
    <row r="89" spans="1:22" ht="15.75" thickBot="1" x14ac:dyDescent="0.3">
      <c r="B89" s="14">
        <v>11.19</v>
      </c>
      <c r="C89" s="14">
        <v>18</v>
      </c>
      <c r="E89" s="6">
        <f>$E$53*B89</f>
        <v>2126.1</v>
      </c>
      <c r="F89" s="7">
        <f>$F$53*C89</f>
        <v>3420</v>
      </c>
      <c r="H89" s="6">
        <f>E89/$C$53</f>
        <v>1345.632911392405</v>
      </c>
      <c r="I89" s="7">
        <f>F89/$C$53</f>
        <v>2164.5569620253164</v>
      </c>
      <c r="K89" s="13">
        <f>(H89+I89)/(0.5*$I$4*($F$64^2))</f>
        <v>1.2523498742509735</v>
      </c>
      <c r="O89" s="27">
        <v>79.8</v>
      </c>
      <c r="P89" s="14"/>
      <c r="R89" s="14"/>
      <c r="S89" s="14">
        <v>3356</v>
      </c>
      <c r="T89" s="26">
        <f>(R89+S89)/(0.5*$I$4*($F$56^2))</f>
        <v>1.174072791318953</v>
      </c>
      <c r="U89" s="26"/>
      <c r="V89" s="26"/>
    </row>
    <row r="90" spans="1:22" ht="15.75" thickBot="1" x14ac:dyDescent="0.3">
      <c r="B90" s="32">
        <v>14.8</v>
      </c>
      <c r="C90" s="33">
        <v>15.52</v>
      </c>
    </row>
    <row r="91" spans="1:22" ht="15.75" thickBot="1" x14ac:dyDescent="0.3">
      <c r="A91" s="2">
        <v>3</v>
      </c>
      <c r="B91" s="16" t="s">
        <v>42</v>
      </c>
      <c r="C91" s="17"/>
      <c r="D91" s="17"/>
      <c r="E91" s="17"/>
      <c r="F91" s="17"/>
      <c r="G91" s="18"/>
      <c r="H91" t="s">
        <v>17</v>
      </c>
      <c r="I91" s="11" t="s">
        <v>36</v>
      </c>
      <c r="J91" s="10"/>
      <c r="K91" s="10"/>
      <c r="L91" s="10"/>
      <c r="N91" s="10"/>
    </row>
    <row r="92" spans="1:22" x14ac:dyDescent="0.25">
      <c r="B92" s="3" t="s">
        <v>0</v>
      </c>
      <c r="C92" s="14">
        <v>256.55</v>
      </c>
      <c r="D92" t="s">
        <v>3</v>
      </c>
      <c r="E92" s="1" t="s">
        <v>4</v>
      </c>
      <c r="F92">
        <f>C92/3.6</f>
        <v>71.263888888888886</v>
      </c>
      <c r="G92" t="s">
        <v>5</v>
      </c>
    </row>
    <row r="94" spans="1:22" ht="15.75" thickBot="1" x14ac:dyDescent="0.3">
      <c r="B94" t="s">
        <v>1</v>
      </c>
      <c r="E94" t="s">
        <v>2</v>
      </c>
      <c r="H94" s="19" t="s">
        <v>11</v>
      </c>
      <c r="I94" s="19"/>
      <c r="K94" t="s">
        <v>12</v>
      </c>
      <c r="L94" t="s">
        <v>18</v>
      </c>
      <c r="M94" t="s">
        <v>24</v>
      </c>
      <c r="O94" t="s">
        <v>19</v>
      </c>
      <c r="P94" t="s">
        <v>20</v>
      </c>
      <c r="R94" s="25" t="s">
        <v>26</v>
      </c>
      <c r="T94" t="s">
        <v>29</v>
      </c>
      <c r="U94" t="s">
        <v>30</v>
      </c>
      <c r="V94" t="s">
        <v>24</v>
      </c>
    </row>
    <row r="95" spans="1:22" x14ac:dyDescent="0.25">
      <c r="B95" s="14">
        <v>10.91</v>
      </c>
      <c r="C95" s="14">
        <v>7.3</v>
      </c>
      <c r="E95" s="4">
        <f>$E$52*B95</f>
        <v>2072.9</v>
      </c>
      <c r="F95" s="5">
        <f>$F$52*C95</f>
        <v>1387</v>
      </c>
      <c r="H95" s="4">
        <f>E95/$C$52</f>
        <v>1410.1360544217689</v>
      </c>
      <c r="I95" s="5">
        <f>F95/$C$52</f>
        <v>943.53741496598639</v>
      </c>
      <c r="K95" s="12">
        <f>(H95+I95)/(0.5*$I$4*($F$64^2))</f>
        <v>0.8397331140795623</v>
      </c>
      <c r="L95">
        <f>K95+K96</f>
        <v>2.2963031117095918</v>
      </c>
      <c r="M95">
        <f>K95/(K95+K96)</f>
        <v>0.36568914173285388</v>
      </c>
      <c r="O95" s="14">
        <v>72.22</v>
      </c>
      <c r="P95" s="14">
        <v>73.739999999999995</v>
      </c>
      <c r="R95" s="14"/>
      <c r="S95" s="14"/>
      <c r="T95" s="26">
        <f>(R95+S95)/(0.5*$I$4*($F$56^2))</f>
        <v>0</v>
      </c>
      <c r="U95" s="26">
        <f>T95+T96</f>
        <v>1.0638722760431871</v>
      </c>
      <c r="V95" s="26">
        <f>T95/(T95+T96)</f>
        <v>0</v>
      </c>
    </row>
    <row r="96" spans="1:22" ht="15.75" thickBot="1" x14ac:dyDescent="0.3">
      <c r="B96" s="14">
        <v>14.55</v>
      </c>
      <c r="C96" s="14">
        <v>19.399999999999999</v>
      </c>
      <c r="E96" s="6">
        <f>$E$53*B96</f>
        <v>2764.5</v>
      </c>
      <c r="F96" s="7">
        <f>$F$53*C96</f>
        <v>3685.9999999999995</v>
      </c>
      <c r="H96" s="6">
        <f>E96/$C$53</f>
        <v>1749.6835443037974</v>
      </c>
      <c r="I96" s="7">
        <f>F96/$C$53</f>
        <v>2332.911392405063</v>
      </c>
      <c r="K96" s="13">
        <f>(H96+I96)/(0.5*$I$4*($F$64^2))</f>
        <v>1.4565699976300293</v>
      </c>
      <c r="O96" s="27">
        <v>92.17</v>
      </c>
      <c r="P96" s="14"/>
      <c r="R96" s="14"/>
      <c r="S96" s="14">
        <v>3041</v>
      </c>
      <c r="T96" s="26">
        <f>(R96+S96)/(0.5*$I$4*($F$56^2))</f>
        <v>1.0638722760431871</v>
      </c>
      <c r="U96" s="26"/>
      <c r="V96" s="26"/>
    </row>
    <row r="98" spans="1:22" x14ac:dyDescent="0.25">
      <c r="A98" s="20" t="s">
        <v>25</v>
      </c>
      <c r="B98" s="20"/>
      <c r="C98" s="20"/>
      <c r="D98" s="20"/>
      <c r="E98" s="20"/>
      <c r="F98" s="20"/>
      <c r="G98" s="20"/>
      <c r="H98" s="20"/>
      <c r="I98" s="20"/>
    </row>
    <row r="99" spans="1:22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spans="1:22" ht="15.75" thickBot="1" x14ac:dyDescent="0.3">
      <c r="A100" s="21"/>
      <c r="E100" s="3" t="s">
        <v>6</v>
      </c>
      <c r="F100" s="3" t="s">
        <v>7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spans="1:22" ht="15.75" thickBot="1" x14ac:dyDescent="0.3">
      <c r="A101" s="21"/>
      <c r="B101" s="3" t="s">
        <v>9</v>
      </c>
      <c r="C101" s="8">
        <v>1.47</v>
      </c>
      <c r="E101" s="28">
        <v>170</v>
      </c>
      <c r="F101" s="29">
        <v>170</v>
      </c>
      <c r="H101" t="s">
        <v>15</v>
      </c>
      <c r="I101" s="15">
        <v>1.1299999999999999</v>
      </c>
      <c r="J101" t="s">
        <v>16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spans="1:22" ht="15.75" thickBot="1" x14ac:dyDescent="0.3">
      <c r="A102" s="21"/>
      <c r="C102" s="9">
        <v>1.58</v>
      </c>
      <c r="E102" s="30">
        <v>170</v>
      </c>
      <c r="F102" s="31">
        <v>170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spans="1:22" ht="15.75" thickBot="1" x14ac:dyDescent="0.3"/>
    <row r="104" spans="1:22" ht="15.75" thickBot="1" x14ac:dyDescent="0.3">
      <c r="A104" s="2">
        <v>1</v>
      </c>
      <c r="B104" s="16" t="s">
        <v>27</v>
      </c>
      <c r="C104" s="17"/>
      <c r="D104" s="17"/>
      <c r="E104" s="17"/>
      <c r="F104" s="17"/>
      <c r="G104" s="18"/>
      <c r="H104" t="s">
        <v>17</v>
      </c>
      <c r="I104" s="11" t="s">
        <v>43</v>
      </c>
      <c r="J104" s="10"/>
      <c r="K104" s="10"/>
      <c r="L104" s="10"/>
      <c r="N104" s="10"/>
    </row>
    <row r="105" spans="1:22" x14ac:dyDescent="0.25">
      <c r="B105" s="3" t="s">
        <v>0</v>
      </c>
      <c r="C105" s="14">
        <v>267.37</v>
      </c>
      <c r="D105" t="s">
        <v>3</v>
      </c>
      <c r="E105" s="1" t="s">
        <v>4</v>
      </c>
      <c r="F105">
        <f>C105/3.6</f>
        <v>74.269444444444446</v>
      </c>
      <c r="G105" t="s">
        <v>5</v>
      </c>
    </row>
    <row r="107" spans="1:22" ht="15.75" thickBot="1" x14ac:dyDescent="0.3">
      <c r="B107" t="s">
        <v>1</v>
      </c>
      <c r="E107" t="s">
        <v>2</v>
      </c>
      <c r="H107" s="19" t="s">
        <v>11</v>
      </c>
      <c r="I107" s="19"/>
      <c r="K107" t="s">
        <v>12</v>
      </c>
      <c r="L107" t="s">
        <v>18</v>
      </c>
      <c r="M107" t="s">
        <v>24</v>
      </c>
      <c r="O107" t="s">
        <v>19</v>
      </c>
      <c r="P107" t="s">
        <v>20</v>
      </c>
      <c r="R107" s="25" t="s">
        <v>26</v>
      </c>
      <c r="T107" t="s">
        <v>29</v>
      </c>
      <c r="U107" t="s">
        <v>30</v>
      </c>
      <c r="V107" t="s">
        <v>24</v>
      </c>
    </row>
    <row r="108" spans="1:22" x14ac:dyDescent="0.25">
      <c r="B108" s="14">
        <v>11.94</v>
      </c>
      <c r="C108" s="14">
        <v>8.6300000000000008</v>
      </c>
      <c r="E108" s="4">
        <f>$E$52*B108</f>
        <v>2268.6</v>
      </c>
      <c r="F108" s="5">
        <f>$F$52*C108</f>
        <v>1639.7</v>
      </c>
      <c r="H108" s="4">
        <f>E108/$C$52</f>
        <v>1543.2653061224489</v>
      </c>
      <c r="I108" s="5">
        <f>F108/$C$52</f>
        <v>1115.4421768707484</v>
      </c>
      <c r="K108" s="12">
        <f>(H108+I108)/(0.5*$I$4*($F$56^2))</f>
        <v>0.93012995109011054</v>
      </c>
      <c r="L108">
        <f>K108+K109</f>
        <v>2.4913371304308729</v>
      </c>
      <c r="M108">
        <f>K108/(K108+K109)</f>
        <v>0.37334567840252353</v>
      </c>
      <c r="O108" s="14">
        <v>62.9</v>
      </c>
      <c r="P108" s="14">
        <v>65.290000000000006</v>
      </c>
      <c r="R108" s="14">
        <v>966</v>
      </c>
      <c r="S108" s="14">
        <v>869</v>
      </c>
      <c r="T108" s="26">
        <f>(R108+S108)/(0.5*$I$4*($F$56^2))</f>
        <v>0.64196173184454075</v>
      </c>
      <c r="U108" s="26">
        <f>T108+T109</f>
        <v>2.0462311550728716</v>
      </c>
      <c r="V108" s="26">
        <f>T108/(T108+T109)</f>
        <v>0.3137288425371858</v>
      </c>
    </row>
    <row r="109" spans="1:22" ht="15.75" thickBot="1" x14ac:dyDescent="0.3">
      <c r="B109" s="14">
        <v>19.27</v>
      </c>
      <c r="C109" s="14">
        <v>17.84</v>
      </c>
      <c r="E109" s="6">
        <f>$E$53*B109</f>
        <v>3661.2999999999997</v>
      </c>
      <c r="F109" s="7">
        <f>$F$53*C109</f>
        <v>3389.6</v>
      </c>
      <c r="H109" s="6">
        <f>E109/$C$53</f>
        <v>2317.2784810126582</v>
      </c>
      <c r="I109" s="7">
        <f>F109/$C$53</f>
        <v>2145.3164556962024</v>
      </c>
      <c r="K109" s="13">
        <f>(H109+I109)/(0.5*$I$4*($F$56^2))</f>
        <v>1.5612071793407625</v>
      </c>
      <c r="O109" s="24" t="s">
        <v>28</v>
      </c>
      <c r="P109" s="14">
        <v>82.66</v>
      </c>
      <c r="R109" s="14">
        <v>2033</v>
      </c>
      <c r="S109" s="14">
        <v>1981</v>
      </c>
      <c r="T109" s="26">
        <f>(R109+S109)/(0.5*$I$4*($F$56^2))</f>
        <v>1.4042694232283306</v>
      </c>
      <c r="U109" s="26"/>
      <c r="V109" s="26"/>
    </row>
    <row r="110" spans="1:22" ht="15.75" thickBot="1" x14ac:dyDescent="0.3"/>
    <row r="111" spans="1:22" ht="15.75" thickBot="1" x14ac:dyDescent="0.3">
      <c r="A111" s="2">
        <v>2</v>
      </c>
      <c r="B111" s="16" t="s">
        <v>27</v>
      </c>
      <c r="C111" s="17"/>
      <c r="D111" s="17"/>
      <c r="E111" s="17"/>
      <c r="F111" s="17"/>
      <c r="G111" s="18"/>
      <c r="H111" t="s">
        <v>13</v>
      </c>
      <c r="I111" s="11" t="s">
        <v>43</v>
      </c>
      <c r="J111" s="10"/>
      <c r="K111" s="10"/>
      <c r="L111" s="10"/>
      <c r="N111" s="10"/>
    </row>
    <row r="112" spans="1:22" x14ac:dyDescent="0.25">
      <c r="B112" s="3" t="s">
        <v>0</v>
      </c>
      <c r="C112" s="14">
        <v>267</v>
      </c>
      <c r="D112" t="s">
        <v>3</v>
      </c>
      <c r="E112" s="1" t="s">
        <v>4</v>
      </c>
      <c r="F112">
        <f>C112/3.6</f>
        <v>74.166666666666671</v>
      </c>
      <c r="G112" t="s">
        <v>5</v>
      </c>
    </row>
    <row r="114" spans="1:22" ht="15.75" thickBot="1" x14ac:dyDescent="0.3">
      <c r="B114" t="s">
        <v>1</v>
      </c>
      <c r="E114" t="s">
        <v>2</v>
      </c>
      <c r="H114" s="19" t="s">
        <v>11</v>
      </c>
      <c r="I114" s="19"/>
      <c r="K114" t="s">
        <v>12</v>
      </c>
      <c r="L114" t="s">
        <v>18</v>
      </c>
      <c r="M114" t="s">
        <v>24</v>
      </c>
      <c r="O114" t="s">
        <v>19</v>
      </c>
      <c r="P114" t="s">
        <v>20</v>
      </c>
      <c r="R114" s="25" t="s">
        <v>26</v>
      </c>
      <c r="T114" t="s">
        <v>29</v>
      </c>
      <c r="U114" t="s">
        <v>30</v>
      </c>
      <c r="V114" t="s">
        <v>24</v>
      </c>
    </row>
    <row r="115" spans="1:22" x14ac:dyDescent="0.25">
      <c r="B115" s="14">
        <v>10.19</v>
      </c>
      <c r="C115" s="14">
        <v>8.8800000000000008</v>
      </c>
      <c r="E115" s="4">
        <f>$E$52*B115</f>
        <v>1936.1</v>
      </c>
      <c r="F115" s="5">
        <f>$F$52*C115</f>
        <v>1687.2</v>
      </c>
      <c r="H115" s="4">
        <f>E115/$C$52</f>
        <v>1317.0748299319728</v>
      </c>
      <c r="I115" s="5">
        <f>F115/$C$52</f>
        <v>1147.7551020408164</v>
      </c>
      <c r="K115" s="12">
        <f>(H115+I115)/(0.5*$I$4*($F$56^2))</f>
        <v>0.86230326530327717</v>
      </c>
      <c r="L115">
        <f>K115+K116</f>
        <v>2.3839649111333872</v>
      </c>
      <c r="M115">
        <f>K115/(K115+K116)</f>
        <v>0.36170971362716914</v>
      </c>
      <c r="O115" s="14">
        <v>65.84</v>
      </c>
      <c r="P115" s="14">
        <v>67.900000000000006</v>
      </c>
      <c r="R115" s="14">
        <v>1069</v>
      </c>
      <c r="S115" s="14">
        <v>1062</v>
      </c>
      <c r="T115" s="26">
        <f>(R115+S115)/(0.5*$I$4*($F$56^2))</f>
        <v>0.74551523191319691</v>
      </c>
      <c r="U115" s="26">
        <f>T115+T116</f>
        <v>2.2309482092493931</v>
      </c>
      <c r="V115" s="26">
        <f>T115/(T115+T116)</f>
        <v>0.33416967225968325</v>
      </c>
    </row>
    <row r="116" spans="1:22" ht="15.75" thickBot="1" x14ac:dyDescent="0.3">
      <c r="B116" s="14">
        <v>17.86</v>
      </c>
      <c r="C116" s="14">
        <v>18.309999999999999</v>
      </c>
      <c r="E116" s="6">
        <f>$E$53*B116</f>
        <v>3393.4</v>
      </c>
      <c r="F116" s="7">
        <f>$F$53*C116</f>
        <v>3478.8999999999996</v>
      </c>
      <c r="H116" s="6">
        <f>E116/$C$53</f>
        <v>2147.7215189873418</v>
      </c>
      <c r="I116" s="7">
        <f>F116/$C$53</f>
        <v>2201.8354430379745</v>
      </c>
      <c r="K116" s="13">
        <f>(H116+I116)/(0.5*$I$4*($F$56^2))</f>
        <v>1.5216616458301098</v>
      </c>
      <c r="O116" s="24" t="s">
        <v>28</v>
      </c>
      <c r="P116" s="14">
        <v>85.65</v>
      </c>
      <c r="R116" s="14">
        <v>2018</v>
      </c>
      <c r="S116" s="14">
        <v>2228</v>
      </c>
      <c r="T116" s="26">
        <f>(R116+S116)/(0.5*$I$4*($F$56^2))</f>
        <v>1.4854329773361963</v>
      </c>
      <c r="U116" s="26"/>
      <c r="V116" s="26"/>
    </row>
    <row r="117" spans="1:22" ht="15.75" thickBot="1" x14ac:dyDescent="0.3"/>
    <row r="118" spans="1:22" ht="15.75" thickBot="1" x14ac:dyDescent="0.3">
      <c r="A118" s="2">
        <v>3</v>
      </c>
      <c r="B118" s="16" t="s">
        <v>31</v>
      </c>
      <c r="C118" s="17"/>
      <c r="D118" s="17"/>
      <c r="E118" s="17"/>
      <c r="F118" s="17"/>
      <c r="G118" s="18"/>
      <c r="H118" t="s">
        <v>13</v>
      </c>
      <c r="I118" s="11" t="s">
        <v>43</v>
      </c>
      <c r="J118" s="10"/>
      <c r="K118" s="10"/>
      <c r="L118" s="10"/>
      <c r="N118" s="10"/>
    </row>
    <row r="119" spans="1:22" x14ac:dyDescent="0.25">
      <c r="B119" s="3" t="s">
        <v>0</v>
      </c>
      <c r="C119" s="14">
        <v>266.70999999999998</v>
      </c>
      <c r="D119" t="s">
        <v>3</v>
      </c>
      <c r="E119" s="1" t="s">
        <v>4</v>
      </c>
      <c r="F119">
        <f>C119/3.6</f>
        <v>74.086111111111109</v>
      </c>
      <c r="G119" t="s">
        <v>5</v>
      </c>
    </row>
    <row r="121" spans="1:22" ht="15.75" thickBot="1" x14ac:dyDescent="0.3">
      <c r="B121" t="s">
        <v>1</v>
      </c>
      <c r="E121" t="s">
        <v>2</v>
      </c>
      <c r="H121" s="19" t="s">
        <v>11</v>
      </c>
      <c r="I121" s="19"/>
      <c r="K121" t="s">
        <v>12</v>
      </c>
      <c r="L121" t="s">
        <v>18</v>
      </c>
      <c r="M121" t="s">
        <v>24</v>
      </c>
      <c r="O121" t="s">
        <v>19</v>
      </c>
      <c r="P121" t="s">
        <v>20</v>
      </c>
      <c r="R121" s="25" t="s">
        <v>26</v>
      </c>
      <c r="T121" t="s">
        <v>29</v>
      </c>
      <c r="U121" t="s">
        <v>30</v>
      </c>
      <c r="V121" t="s">
        <v>24</v>
      </c>
    </row>
    <row r="122" spans="1:22" x14ac:dyDescent="0.25">
      <c r="B122" s="14">
        <v>10.39</v>
      </c>
      <c r="C122" s="14">
        <v>8.09</v>
      </c>
      <c r="E122" s="4">
        <f>$E$52*B122</f>
        <v>1974.1000000000001</v>
      </c>
      <c r="F122" s="5">
        <f>$F$52*C122</f>
        <v>1537.1</v>
      </c>
      <c r="H122" s="4">
        <f>E122/$C$52</f>
        <v>1342.9251700680272</v>
      </c>
      <c r="I122" s="5">
        <f>F122/$C$52</f>
        <v>1045.6462585034012</v>
      </c>
      <c r="K122" s="12">
        <f>(H122+I122)/(0.5*$I$4*($F$56^2))</f>
        <v>0.83562476889378912</v>
      </c>
      <c r="L122">
        <f>K122+K123</f>
        <v>2.4351153902501834</v>
      </c>
      <c r="M122">
        <f>K122/(K122+K123)</f>
        <v>0.34315612814057944</v>
      </c>
      <c r="O122" s="14">
        <v>66.099999999999994</v>
      </c>
      <c r="P122" s="14">
        <v>67.849999999999994</v>
      </c>
      <c r="R122" s="14">
        <v>831</v>
      </c>
      <c r="S122" s="14">
        <v>976</v>
      </c>
      <c r="T122" s="26">
        <f>(R122+S122)/(0.5*$I$4*($F$56^2))</f>
        <v>0.6321661304866949</v>
      </c>
      <c r="U122" s="26">
        <f>T122+T123</f>
        <v>2.0815652885422438</v>
      </c>
      <c r="V122" s="26">
        <f>T122/(T122+T123)</f>
        <v>0.30369747899159666</v>
      </c>
    </row>
    <row r="123" spans="1:22" ht="15.75" thickBot="1" x14ac:dyDescent="0.3">
      <c r="B123" s="14">
        <v>19.27</v>
      </c>
      <c r="C123" s="14">
        <v>18.75</v>
      </c>
      <c r="E123" s="6">
        <f>$E$53*B123</f>
        <v>3661.2999999999997</v>
      </c>
      <c r="F123" s="7">
        <f>$F$53*C123</f>
        <v>3562.5</v>
      </c>
      <c r="H123" s="6">
        <f>E123/$C$53</f>
        <v>2317.2784810126582</v>
      </c>
      <c r="I123" s="7">
        <f>F123/$C$53</f>
        <v>2254.746835443038</v>
      </c>
      <c r="K123" s="13">
        <f>(H123+I123)/(0.5*$I$4*($F$56^2))</f>
        <v>1.5994906213563942</v>
      </c>
      <c r="O123" s="24" t="s">
        <v>28</v>
      </c>
      <c r="P123" s="14">
        <v>84.96</v>
      </c>
      <c r="R123" s="14">
        <v>1996</v>
      </c>
      <c r="S123" s="14">
        <v>2147</v>
      </c>
      <c r="T123" s="26">
        <f>(R123+S123)/(0.5*$I$4*($F$56^2))</f>
        <v>1.449399158055549</v>
      </c>
      <c r="U123" s="26"/>
      <c r="V123" s="26"/>
    </row>
    <row r="124" spans="1:22" ht="15.75" thickBot="1" x14ac:dyDescent="0.3"/>
    <row r="125" spans="1:22" ht="15.75" thickBot="1" x14ac:dyDescent="0.3">
      <c r="A125" s="2">
        <v>4</v>
      </c>
      <c r="B125" s="16" t="s">
        <v>31</v>
      </c>
      <c r="C125" s="17"/>
      <c r="D125" s="17"/>
      <c r="E125" s="17"/>
      <c r="F125" s="17"/>
      <c r="G125" s="18"/>
      <c r="H125" t="s">
        <v>14</v>
      </c>
      <c r="I125" s="11" t="s">
        <v>43</v>
      </c>
      <c r="J125" s="10"/>
      <c r="K125" s="10"/>
      <c r="L125" s="10"/>
      <c r="N125" s="10"/>
    </row>
    <row r="126" spans="1:22" x14ac:dyDescent="0.25">
      <c r="B126" s="3" t="s">
        <v>0</v>
      </c>
      <c r="C126" s="14">
        <v>266.7</v>
      </c>
      <c r="D126" t="s">
        <v>3</v>
      </c>
      <c r="E126" s="1" t="s">
        <v>4</v>
      </c>
      <c r="F126">
        <f>C126/3.6</f>
        <v>74.083333333333329</v>
      </c>
      <c r="G126" t="s">
        <v>5</v>
      </c>
    </row>
    <row r="128" spans="1:22" ht="15.75" thickBot="1" x14ac:dyDescent="0.3">
      <c r="B128" t="s">
        <v>1</v>
      </c>
      <c r="E128" t="s">
        <v>2</v>
      </c>
      <c r="H128" s="19" t="s">
        <v>11</v>
      </c>
      <c r="I128" s="19"/>
      <c r="K128" t="s">
        <v>12</v>
      </c>
      <c r="L128" t="s">
        <v>18</v>
      </c>
      <c r="M128" t="s">
        <v>24</v>
      </c>
      <c r="O128" t="s">
        <v>19</v>
      </c>
      <c r="P128" t="s">
        <v>20</v>
      </c>
      <c r="R128" s="25" t="s">
        <v>26</v>
      </c>
      <c r="T128" t="s">
        <v>29</v>
      </c>
      <c r="U128" t="s">
        <v>30</v>
      </c>
      <c r="V128" t="s">
        <v>24</v>
      </c>
    </row>
    <row r="129" spans="1:22" x14ac:dyDescent="0.25">
      <c r="B129" s="14">
        <v>11.27</v>
      </c>
      <c r="C129" s="14">
        <v>8.2899999999999991</v>
      </c>
      <c r="E129" s="4">
        <f>$E$52*B129</f>
        <v>2141.2999999999997</v>
      </c>
      <c r="F129" s="5">
        <f>$F$52*C129</f>
        <v>1575.1</v>
      </c>
      <c r="H129" s="4">
        <f>E129/$C$52</f>
        <v>1456.6666666666665</v>
      </c>
      <c r="I129" s="5">
        <f>F129/$C$52</f>
        <v>1071.4965986394557</v>
      </c>
      <c r="K129" s="12">
        <f>(H129+I129)/(0.5*$I$4*($F$56^2))</f>
        <v>0.88445998266030934</v>
      </c>
      <c r="L129">
        <f>K129+K130</f>
        <v>2.5234961375273559</v>
      </c>
      <c r="M129">
        <f>K129/(K129+K130)</f>
        <v>0.35048992923244426</v>
      </c>
      <c r="O129" s="14">
        <v>64.28</v>
      </c>
      <c r="P129" s="14">
        <v>67.599999999999994</v>
      </c>
      <c r="R129" s="14">
        <v>1023</v>
      </c>
      <c r="S129" s="14">
        <v>998</v>
      </c>
      <c r="T129" s="26">
        <f>(R129+S129)/(0.5*$I$4*($F$56^2))</f>
        <v>0.70703251229308828</v>
      </c>
      <c r="U129" s="26">
        <f>T129+T130</f>
        <v>2.1931651754405594</v>
      </c>
      <c r="V129" s="26">
        <f>T129/(T129+T130)</f>
        <v>0.32237996490668369</v>
      </c>
    </row>
    <row r="130" spans="1:22" ht="15.75" thickBot="1" x14ac:dyDescent="0.3">
      <c r="B130" s="14">
        <v>20.14</v>
      </c>
      <c r="C130" s="14">
        <v>18.82</v>
      </c>
      <c r="E130" s="6">
        <f>$E$53*B130</f>
        <v>3826.6</v>
      </c>
      <c r="F130" s="7">
        <f>$F$53*C130</f>
        <v>3575.8</v>
      </c>
      <c r="H130" s="6">
        <f>E130/$C$53</f>
        <v>2421.8987341772149</v>
      </c>
      <c r="I130" s="7">
        <f>F130/$C$53</f>
        <v>2263.1645569620255</v>
      </c>
      <c r="K130" s="13">
        <f>(H130+I130)/(0.5*$I$4*($F$56^2))</f>
        <v>1.6390361548670467</v>
      </c>
      <c r="O130" s="24" t="s">
        <v>28</v>
      </c>
      <c r="P130" s="14">
        <v>82.46</v>
      </c>
      <c r="R130" s="14">
        <v>2114</v>
      </c>
      <c r="S130" s="14">
        <v>2134</v>
      </c>
      <c r="T130" s="26">
        <f>(R130+S130)/(0.5*$I$4*($F$56^2))</f>
        <v>1.4861326631474709</v>
      </c>
      <c r="U130" s="26"/>
      <c r="V130" s="26"/>
    </row>
    <row r="131" spans="1:22" ht="15.75" thickBot="1" x14ac:dyDescent="0.3"/>
    <row r="132" spans="1:22" ht="15.75" thickBot="1" x14ac:dyDescent="0.3">
      <c r="A132" s="2">
        <v>5</v>
      </c>
      <c r="B132" s="16" t="s">
        <v>32</v>
      </c>
      <c r="C132" s="17"/>
      <c r="D132" s="17"/>
      <c r="E132" s="17"/>
      <c r="F132" s="17"/>
      <c r="G132" s="18"/>
      <c r="H132" t="s">
        <v>13</v>
      </c>
      <c r="I132" s="11" t="s">
        <v>43</v>
      </c>
      <c r="J132" s="10"/>
      <c r="K132" s="10"/>
      <c r="L132" s="10"/>
      <c r="N132" s="10"/>
    </row>
    <row r="133" spans="1:22" x14ac:dyDescent="0.25">
      <c r="B133" s="3" t="s">
        <v>0</v>
      </c>
      <c r="C133" s="14">
        <v>267.42</v>
      </c>
      <c r="D133" t="s">
        <v>3</v>
      </c>
      <c r="E133" s="1" t="s">
        <v>4</v>
      </c>
      <c r="F133">
        <f>C133/3.6</f>
        <v>74.283333333333331</v>
      </c>
      <c r="G133" t="s">
        <v>5</v>
      </c>
    </row>
    <row r="135" spans="1:22" ht="15.75" thickBot="1" x14ac:dyDescent="0.3">
      <c r="B135" t="s">
        <v>1</v>
      </c>
      <c r="E135" t="s">
        <v>2</v>
      </c>
      <c r="H135" s="19" t="s">
        <v>11</v>
      </c>
      <c r="I135" s="19"/>
      <c r="K135" t="s">
        <v>12</v>
      </c>
      <c r="L135" t="s">
        <v>18</v>
      </c>
      <c r="M135" t="s">
        <v>24</v>
      </c>
      <c r="O135" t="s">
        <v>19</v>
      </c>
      <c r="P135" t="s">
        <v>20</v>
      </c>
      <c r="R135" s="25" t="s">
        <v>26</v>
      </c>
      <c r="T135" t="s">
        <v>29</v>
      </c>
      <c r="U135" t="s">
        <v>30</v>
      </c>
      <c r="V135" t="s">
        <v>24</v>
      </c>
    </row>
    <row r="136" spans="1:22" x14ac:dyDescent="0.25">
      <c r="B136" s="14">
        <v>10.199999999999999</v>
      </c>
      <c r="C136" s="14">
        <v>9.77</v>
      </c>
      <c r="E136" s="4">
        <f>$E$52*B136</f>
        <v>1937.9999999999998</v>
      </c>
      <c r="F136" s="5">
        <f>$F$52*C136</f>
        <v>1856.3</v>
      </c>
      <c r="H136" s="4">
        <f>E136/$C$52</f>
        <v>1318.3673469387754</v>
      </c>
      <c r="I136" s="5">
        <f>F136/$C$52</f>
        <v>1262.7891156462586</v>
      </c>
      <c r="K136" s="12">
        <f>(H136+I136)/(0.5*$I$4*($F$56^2))</f>
        <v>0.90299927677537717</v>
      </c>
      <c r="L136">
        <f>K136+K137</f>
        <v>2.4932345605016186</v>
      </c>
      <c r="M136">
        <f>K136/(K136+K137)</f>
        <v>0.36217983300925405</v>
      </c>
      <c r="O136" s="14">
        <v>64.709999999999994</v>
      </c>
      <c r="P136" s="14">
        <v>64.97</v>
      </c>
      <c r="R136" s="14">
        <v>1133</v>
      </c>
      <c r="S136" s="14">
        <v>1150</v>
      </c>
      <c r="T136" s="26">
        <f>(R136+S136)/(0.5*$I$4*($F$56^2))</f>
        <v>0.79869135357007448</v>
      </c>
      <c r="U136" s="26">
        <f>T136+T137</f>
        <v>2.1357909389160334</v>
      </c>
      <c r="V136" s="26">
        <f>T136/(T136+T137)</f>
        <v>0.37395577395577401</v>
      </c>
    </row>
    <row r="137" spans="1:22" ht="15.75" thickBot="1" x14ac:dyDescent="0.3">
      <c r="B137" s="14">
        <v>18.95</v>
      </c>
      <c r="C137" s="14">
        <v>18.850000000000001</v>
      </c>
      <c r="E137" s="6">
        <f>$E$53*B137</f>
        <v>3600.5</v>
      </c>
      <c r="F137" s="7">
        <f>$F$53*C137</f>
        <v>3581.5000000000005</v>
      </c>
      <c r="H137" s="6">
        <f>E137/$C$53</f>
        <v>2278.7974683544303</v>
      </c>
      <c r="I137" s="7">
        <f>F137/$C$53</f>
        <v>2266.7721518987341</v>
      </c>
      <c r="K137" s="13">
        <f>(H137+I137)/(0.5*$I$4*($F$56^2))</f>
        <v>1.5902352837262415</v>
      </c>
      <c r="O137" s="24" t="s">
        <v>28</v>
      </c>
      <c r="P137" s="14">
        <v>80.69</v>
      </c>
      <c r="R137" s="14">
        <v>1909</v>
      </c>
      <c r="S137" s="14">
        <v>1913</v>
      </c>
      <c r="T137" s="26">
        <f>(R137+S137)/(0.5*$I$4*($F$56^2))</f>
        <v>1.3370995853459591</v>
      </c>
      <c r="U137" s="26"/>
      <c r="V137" s="26"/>
    </row>
  </sheetData>
  <mergeCells count="36">
    <mergeCell ref="H128:I128"/>
    <mergeCell ref="B132:G132"/>
    <mergeCell ref="H135:I135"/>
    <mergeCell ref="B111:G111"/>
    <mergeCell ref="H114:I114"/>
    <mergeCell ref="B118:G118"/>
    <mergeCell ref="H121:I121"/>
    <mergeCell ref="B125:G125"/>
    <mergeCell ref="A98:I98"/>
    <mergeCell ref="B104:G104"/>
    <mergeCell ref="H107:I107"/>
    <mergeCell ref="B63:G63"/>
    <mergeCell ref="H66:I66"/>
    <mergeCell ref="A70:I70"/>
    <mergeCell ref="B84:G84"/>
    <mergeCell ref="H87:I87"/>
    <mergeCell ref="B91:G91"/>
    <mergeCell ref="H94:I94"/>
    <mergeCell ref="B76:G76"/>
    <mergeCell ref="H79:I79"/>
    <mergeCell ref="A2:I2"/>
    <mergeCell ref="A49:I49"/>
    <mergeCell ref="B55:G55"/>
    <mergeCell ref="H58:I58"/>
    <mergeCell ref="H45:I45"/>
    <mergeCell ref="B7:G7"/>
    <mergeCell ref="H10:I10"/>
    <mergeCell ref="B14:G14"/>
    <mergeCell ref="H17:I17"/>
    <mergeCell ref="B21:G21"/>
    <mergeCell ref="H24:I24"/>
    <mergeCell ref="B28:G28"/>
    <mergeCell ref="H31:I31"/>
    <mergeCell ref="B35:G35"/>
    <mergeCell ref="H38:I38"/>
    <mergeCell ref="B42:G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2A36-E252-492A-9813-A14C229C5A14}">
  <dimension ref="A2:P13"/>
  <sheetViews>
    <sheetView workbookViewId="0">
      <selection activeCell="M20" sqref="M20"/>
    </sheetView>
  </sheetViews>
  <sheetFormatPr defaultRowHeight="15" x14ac:dyDescent="0.25"/>
  <cols>
    <col min="1" max="1" width="3.7109375" customWidth="1"/>
  </cols>
  <sheetData>
    <row r="2" spans="1:16" ht="15.75" thickBot="1" x14ac:dyDescent="0.3">
      <c r="E2" s="3" t="s">
        <v>6</v>
      </c>
      <c r="F2" s="3" t="s">
        <v>7</v>
      </c>
    </row>
    <row r="3" spans="1:16" ht="15.75" thickBot="1" x14ac:dyDescent="0.3">
      <c r="B3" s="3" t="s">
        <v>9</v>
      </c>
      <c r="C3" s="8">
        <v>1.47</v>
      </c>
      <c r="E3" s="4">
        <v>170</v>
      </c>
      <c r="F3" s="5">
        <v>170</v>
      </c>
      <c r="H3" t="s">
        <v>15</v>
      </c>
      <c r="I3" s="15">
        <v>1.1299999999999999</v>
      </c>
      <c r="J3" t="s">
        <v>16</v>
      </c>
    </row>
    <row r="4" spans="1:16" ht="15.75" thickBot="1" x14ac:dyDescent="0.3">
      <c r="C4" s="9">
        <v>1.58</v>
      </c>
      <c r="E4" s="6">
        <v>170</v>
      </c>
      <c r="F4" s="7">
        <v>170</v>
      </c>
    </row>
    <row r="6" spans="1:16" x14ac:dyDescent="0.25">
      <c r="A6" s="20" t="s">
        <v>33</v>
      </c>
      <c r="B6" s="20"/>
      <c r="C6" s="20"/>
      <c r="D6" s="20"/>
      <c r="E6" s="20"/>
      <c r="F6" s="20"/>
      <c r="G6" s="20"/>
      <c r="H6" s="20"/>
      <c r="I6" s="20"/>
    </row>
    <row r="7" spans="1:16" ht="15.75" thickBot="1" x14ac:dyDescent="0.3"/>
    <row r="8" spans="1:16" ht="15.75" thickBot="1" x14ac:dyDescent="0.3">
      <c r="A8" s="2">
        <v>1</v>
      </c>
      <c r="B8" s="16" t="s">
        <v>8</v>
      </c>
      <c r="C8" s="17"/>
      <c r="D8" s="17"/>
      <c r="E8" s="17"/>
      <c r="F8" s="17"/>
      <c r="G8" s="18"/>
      <c r="H8" t="s">
        <v>13</v>
      </c>
      <c r="I8" s="11" t="s">
        <v>34</v>
      </c>
      <c r="J8" s="10"/>
      <c r="K8" s="10"/>
      <c r="L8" s="10"/>
      <c r="N8" s="10"/>
    </row>
    <row r="9" spans="1:16" x14ac:dyDescent="0.25">
      <c r="B9" s="3" t="s">
        <v>0</v>
      </c>
      <c r="C9" s="14"/>
      <c r="D9" t="s">
        <v>3</v>
      </c>
      <c r="E9" s="1" t="s">
        <v>4</v>
      </c>
      <c r="F9">
        <f>C9/3.6</f>
        <v>0</v>
      </c>
      <c r="G9" t="s">
        <v>5</v>
      </c>
    </row>
    <row r="11" spans="1:16" ht="15.75" thickBot="1" x14ac:dyDescent="0.3">
      <c r="B11" t="s">
        <v>1</v>
      </c>
      <c r="E11" t="s">
        <v>2</v>
      </c>
      <c r="H11" s="19" t="s">
        <v>11</v>
      </c>
      <c r="I11" s="19"/>
      <c r="K11" t="s">
        <v>12</v>
      </c>
      <c r="L11" t="s">
        <v>18</v>
      </c>
      <c r="M11" t="s">
        <v>24</v>
      </c>
      <c r="O11" t="s">
        <v>19</v>
      </c>
      <c r="P11" t="s">
        <v>20</v>
      </c>
    </row>
    <row r="12" spans="1:16" x14ac:dyDescent="0.25">
      <c r="B12" s="14"/>
      <c r="C12" s="14"/>
      <c r="E12" s="4">
        <f>E3*B12</f>
        <v>0</v>
      </c>
      <c r="F12" s="5">
        <f>F3*C12</f>
        <v>0</v>
      </c>
      <c r="H12" s="4">
        <f>E12/$C$3</f>
        <v>0</v>
      </c>
      <c r="I12" s="5">
        <f>F12/$C$3</f>
        <v>0</v>
      </c>
      <c r="K12" s="12" t="e">
        <f>(H12+I12)/(0.5*$I$3*($F$9^2))</f>
        <v>#DIV/0!</v>
      </c>
      <c r="L12" t="e">
        <f>K12+K13</f>
        <v>#DIV/0!</v>
      </c>
      <c r="M12" t="e">
        <f>K12/(K12+K13)</f>
        <v>#DIV/0!</v>
      </c>
      <c r="O12" s="14"/>
      <c r="P12" s="14"/>
    </row>
    <row r="13" spans="1:16" ht="15.75" thickBot="1" x14ac:dyDescent="0.3">
      <c r="B13" s="14"/>
      <c r="C13" s="14"/>
      <c r="E13" s="6">
        <f>E4*B13</f>
        <v>0</v>
      </c>
      <c r="F13" s="7">
        <f>F4*C13</f>
        <v>0</v>
      </c>
      <c r="H13" s="6">
        <f>E13/$C$4</f>
        <v>0</v>
      </c>
      <c r="I13" s="7">
        <f>F13/$C$4</f>
        <v>0</v>
      </c>
      <c r="K13" s="13" t="e">
        <f>(H13+I13)/(0.5*$I$3*($F$9^2))</f>
        <v>#DIV/0!</v>
      </c>
      <c r="O13" s="14"/>
      <c r="P13" s="14"/>
    </row>
  </sheetData>
  <mergeCells count="3">
    <mergeCell ref="A6:I6"/>
    <mergeCell ref="B8:G8"/>
    <mergeCell ref="H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Dottinger</vt:lpstr>
      <vt:lpstr>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2021-09-15T13:15:30Z</dcterms:created>
  <dcterms:modified xsi:type="dcterms:W3CDTF">2021-09-16T16:23:43Z</dcterms:modified>
</cp:coreProperties>
</file>