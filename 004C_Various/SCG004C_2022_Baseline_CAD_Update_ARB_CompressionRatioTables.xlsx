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Paganini\Desktop\DataEngineering\SCG_004C\"/>
    </mc:Choice>
  </mc:AlternateContent>
  <xr:revisionPtr revIDLastSave="0" documentId="8_{D3A461FC-E986-49B7-95E0-0CE2CDD83D7A}" xr6:coauthVersionLast="47" xr6:coauthVersionMax="47" xr10:uidLastSave="{00000000-0000-0000-0000-000000000000}"/>
  <bookViews>
    <workbookView xWindow="-38520" yWindow="-120" windowWidth="38640" windowHeight="15840" xr2:uid="{47A01BBD-745F-4F28-8BF9-5AA1E0E62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19" i="1"/>
  <c r="D3" i="1"/>
  <c r="D4" i="1"/>
  <c r="D5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<sst xmlns="http://schemas.openxmlformats.org/spreadsheetml/2006/main" count="8" uniqueCount="6">
  <si>
    <t>REAR ARB</t>
  </si>
  <si>
    <t>IR(deg/deg)</t>
  </si>
  <si>
    <t>FRONT ARB</t>
  </si>
  <si>
    <t>IR (deg/deg)</t>
  </si>
  <si>
    <t>ARB Angle [deg]</t>
  </si>
  <si>
    <t>Jounce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</si>
</sst>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68" fontId="0" fillId="0" borderId="0" xfId="0" applyNumberFormat="1"/>
    <xf numFmtId="168" fontId="0" fillId="0" borderId="2" xfId="0" applyNumberFormat="1" applyBorder="1"/>
    <xf numFmtId="168" fontId="0" fillId="0" borderId="3" xfId="0" applyNumberFormat="1" applyBorder="1"/>
    <xf numFmtId="168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1CDD-92C3-407C-BEAA-95700F6F2AC3}">
  <dimension ref="A1:D39"/>
  <sheetViews>
    <sheetView tabSelected="1" workbookViewId="0">
      <selection activeCell="E19" sqref="E19:E23"/>
    </sheetView>
  </sheetViews>
  <sheetFormatPr defaultRowHeight="15" x14ac:dyDescent="0.25"/>
  <cols>
    <col min="1" max="1" width="11" bestFit="1" customWidth="1"/>
    <col min="2" max="2" width="12.42578125" bestFit="1" customWidth="1"/>
    <col min="3" max="3" width="15.42578125" bestFit="1" customWidth="1"/>
    <col min="4" max="4" width="12" bestFit="1" customWidth="1"/>
  </cols>
  <sheetData>
    <row r="1" spans="1:4" x14ac:dyDescent="0.25">
      <c r="A1" t="s">
        <v>2</v>
      </c>
    </row>
    <row r="2" spans="1:4" x14ac:dyDescent="0.25">
      <c r="B2" s="2" t="s">
        <v>5</v>
      </c>
      <c r="C2" s="2" t="s">
        <v>4</v>
      </c>
      <c r="D2" s="2" t="s">
        <v>1</v>
      </c>
    </row>
    <row r="3" spans="1:4" x14ac:dyDescent="0.25">
      <c r="B3">
        <v>-60</v>
      </c>
      <c r="C3">
        <v>-16.263300000000001</v>
      </c>
      <c r="D3" s="3">
        <f>ABS(C4-C3)/(ATAN(10/(1655.34/2))*180/PI())</f>
        <v>3.6651630351721161</v>
      </c>
    </row>
    <row r="4" spans="1:4" x14ac:dyDescent="0.25">
      <c r="B4">
        <v>-50</v>
      </c>
      <c r="C4">
        <v>-13.7262</v>
      </c>
      <c r="D4" s="3">
        <f>ABS(C5-C4)/(ATAN(10/(1655.34/2))*180/PI())</f>
        <v>3.6531726314860453</v>
      </c>
    </row>
    <row r="5" spans="1:4" x14ac:dyDescent="0.25">
      <c r="B5">
        <v>-40</v>
      </c>
      <c r="C5">
        <v>-11.1974</v>
      </c>
      <c r="D5" s="4">
        <f>ABS(C6-C5)/(ATAN(10/(1655.34/2))*180/PI())</f>
        <v>3.6435225234591826</v>
      </c>
    </row>
    <row r="6" spans="1:4" x14ac:dyDescent="0.25">
      <c r="B6">
        <v>-30</v>
      </c>
      <c r="C6">
        <v>-8.6752800000000008</v>
      </c>
      <c r="D6" s="5">
        <f>ABS(C7-C6)/(ATAN(10/(1655.34/2))*180/PI())</f>
        <v>3.6360249095880151</v>
      </c>
    </row>
    <row r="7" spans="1:4" x14ac:dyDescent="0.25">
      <c r="B7">
        <v>-20</v>
      </c>
      <c r="C7">
        <v>-6.1583500000000004</v>
      </c>
      <c r="D7" s="5">
        <f>ABS(C8-C7)/(ATAN(10/(1655.34/2))*180/PI())</f>
        <v>3.6307953600285487</v>
      </c>
    </row>
    <row r="8" spans="1:4" x14ac:dyDescent="0.25">
      <c r="B8">
        <v>-10</v>
      </c>
      <c r="C8">
        <v>-3.6450399999999998</v>
      </c>
      <c r="D8" s="5">
        <f>ABS(C9-C8)/(ATAN(10/(1655.34/2))*180/PI())</f>
        <v>3.6277616434332773</v>
      </c>
    </row>
    <row r="9" spans="1:4" x14ac:dyDescent="0.25">
      <c r="B9">
        <v>0</v>
      </c>
      <c r="C9">
        <v>-1.1338299999999999</v>
      </c>
      <c r="D9" s="5">
        <f>ABS(C10-C9)/(ATAN(10/(1655.34/2))*180/PI())</f>
        <v>3.6268948672631995</v>
      </c>
    </row>
    <row r="10" spans="1:4" x14ac:dyDescent="0.25">
      <c r="B10">
        <v>10</v>
      </c>
      <c r="C10">
        <v>1.3767799999999999</v>
      </c>
      <c r="D10" s="5">
        <f>ABS(C11-C10)/(ATAN(10/(1655.34/2))*180/PI())</f>
        <v>3.6281950315183162</v>
      </c>
    </row>
    <row r="11" spans="1:4" x14ac:dyDescent="0.25">
      <c r="B11">
        <v>20</v>
      </c>
      <c r="C11">
        <v>3.88829</v>
      </c>
      <c r="D11" s="5">
        <f>ABS(C12-C11)/(ATAN(10/(1655.34/2))*180/PI())</f>
        <v>3.6316621361986248</v>
      </c>
    </row>
    <row r="12" spans="1:4" x14ac:dyDescent="0.25">
      <c r="B12">
        <v>30</v>
      </c>
      <c r="C12">
        <v>6.4021999999999997</v>
      </c>
      <c r="D12" s="5">
        <f>ABS(C13-C12)/(ATAN(10/(1655.34/2))*180/PI())</f>
        <v>3.6373395201126324</v>
      </c>
    </row>
    <row r="13" spans="1:4" x14ac:dyDescent="0.25">
      <c r="B13">
        <v>40</v>
      </c>
      <c r="C13">
        <v>8.9200400000000002</v>
      </c>
      <c r="D13" s="5">
        <f>ABS(C14-C13)/(ATAN(10/(1655.34/2))*180/PI())</f>
        <v>3.6451693981823312</v>
      </c>
    </row>
    <row r="14" spans="1:4" x14ac:dyDescent="0.25">
      <c r="B14">
        <v>50</v>
      </c>
      <c r="C14">
        <v>11.443300000000001</v>
      </c>
      <c r="D14" s="6">
        <f>ABS(C15-C14)/(ATAN(10/(1655.34/2))*180/PI())</f>
        <v>3.6554840346062489</v>
      </c>
    </row>
    <row r="15" spans="1:4" x14ac:dyDescent="0.25">
      <c r="B15">
        <v>60</v>
      </c>
      <c r="C15">
        <v>13.973699999999999</v>
      </c>
      <c r="D15" s="3"/>
    </row>
    <row r="17" spans="1:4" x14ac:dyDescent="0.25">
      <c r="A17" t="s">
        <v>0</v>
      </c>
    </row>
    <row r="18" spans="1:4" x14ac:dyDescent="0.25">
      <c r="B18" s="1" t="s">
        <v>5</v>
      </c>
      <c r="C18" s="1" t="s">
        <v>4</v>
      </c>
      <c r="D18" s="1" t="s">
        <v>3</v>
      </c>
    </row>
    <row r="19" spans="1:4" x14ac:dyDescent="0.25">
      <c r="B19">
        <v>-60</v>
      </c>
      <c r="C19">
        <v>-16.832999999999998</v>
      </c>
      <c r="D19" s="3">
        <f>ABS(C20-C19)/(ATAN(6/(1607.79/2))*180/PI())</f>
        <v>3.9625529810660485</v>
      </c>
    </row>
    <row r="20" spans="1:4" x14ac:dyDescent="0.25">
      <c r="B20">
        <v>-54</v>
      </c>
      <c r="C20">
        <v>-15.138500000000001</v>
      </c>
      <c r="D20" s="3">
        <f t="shared" ref="D20:D38" si="0">ABS(C21-C20)/(ATAN(6/(1607.79/2))*180/PI())</f>
        <v>3.9543683039142516</v>
      </c>
    </row>
    <row r="21" spans="1:4" x14ac:dyDescent="0.25">
      <c r="B21">
        <v>-48</v>
      </c>
      <c r="C21">
        <v>-13.4475</v>
      </c>
      <c r="D21" s="3">
        <f t="shared" si="0"/>
        <v>3.9468851705183132</v>
      </c>
    </row>
    <row r="22" spans="1:4" x14ac:dyDescent="0.25">
      <c r="B22">
        <v>-42</v>
      </c>
      <c r="C22">
        <v>-11.7597</v>
      </c>
      <c r="D22" s="3">
        <f t="shared" si="0"/>
        <v>3.9403374287968735</v>
      </c>
    </row>
    <row r="23" spans="1:4" x14ac:dyDescent="0.25">
      <c r="B23">
        <v>-36</v>
      </c>
      <c r="C23">
        <v>-10.0747</v>
      </c>
      <c r="D23" s="4">
        <f t="shared" si="0"/>
        <v>3.9350290810441297</v>
      </c>
    </row>
    <row r="24" spans="1:4" x14ac:dyDescent="0.25">
      <c r="B24">
        <v>-30</v>
      </c>
      <c r="C24">
        <v>-8.3919700000000006</v>
      </c>
      <c r="D24" s="5">
        <f t="shared" si="0"/>
        <v>3.9303521226716729</v>
      </c>
    </row>
    <row r="25" spans="1:4" x14ac:dyDescent="0.25">
      <c r="B25">
        <v>-24</v>
      </c>
      <c r="C25">
        <v>-6.7112400000000001</v>
      </c>
      <c r="D25" s="5">
        <f t="shared" si="0"/>
        <v>3.9267040951411536</v>
      </c>
    </row>
    <row r="26" spans="1:4" x14ac:dyDescent="0.25">
      <c r="B26">
        <v>-18</v>
      </c>
      <c r="C26">
        <v>-5.03207</v>
      </c>
      <c r="D26" s="5">
        <f t="shared" si="0"/>
        <v>3.9239680744932648</v>
      </c>
    </row>
    <row r="27" spans="1:4" x14ac:dyDescent="0.25">
      <c r="B27">
        <v>-12</v>
      </c>
      <c r="C27">
        <v>-3.3540700000000001</v>
      </c>
      <c r="D27" s="5">
        <f t="shared" si="0"/>
        <v>3.9221674455198681</v>
      </c>
    </row>
    <row r="28" spans="1:4" x14ac:dyDescent="0.25">
      <c r="B28">
        <v>-6</v>
      </c>
      <c r="C28">
        <v>-1.6768400000000001</v>
      </c>
      <c r="D28" s="5">
        <f t="shared" si="0"/>
        <v>3.9212554386372389</v>
      </c>
    </row>
    <row r="29" spans="1:4" x14ac:dyDescent="0.25">
      <c r="B29">
        <v>0</v>
      </c>
      <c r="C29">
        <v>0</v>
      </c>
      <c r="D29" s="5">
        <f t="shared" si="0"/>
        <v>3.9212554386372389</v>
      </c>
    </row>
    <row r="30" spans="1:4" x14ac:dyDescent="0.25">
      <c r="B30">
        <v>6</v>
      </c>
      <c r="C30">
        <v>1.6768400000000001</v>
      </c>
      <c r="D30" s="5">
        <f t="shared" si="0"/>
        <v>3.9221674455198681</v>
      </c>
    </row>
    <row r="31" spans="1:4" x14ac:dyDescent="0.25">
      <c r="B31">
        <v>12</v>
      </c>
      <c r="C31">
        <v>3.3540700000000001</v>
      </c>
      <c r="D31" s="5">
        <f t="shared" si="0"/>
        <v>3.9239680744932648</v>
      </c>
    </row>
    <row r="32" spans="1:4" x14ac:dyDescent="0.25">
      <c r="B32">
        <v>18</v>
      </c>
      <c r="C32">
        <v>5.03207</v>
      </c>
      <c r="D32" s="5">
        <f t="shared" si="0"/>
        <v>3.9267040951411536</v>
      </c>
    </row>
    <row r="33" spans="2:4" x14ac:dyDescent="0.25">
      <c r="B33">
        <v>24</v>
      </c>
      <c r="C33">
        <v>6.7112400000000001</v>
      </c>
      <c r="D33" s="5">
        <f t="shared" si="0"/>
        <v>3.9303521226716729</v>
      </c>
    </row>
    <row r="34" spans="2:4" x14ac:dyDescent="0.25">
      <c r="B34">
        <v>30</v>
      </c>
      <c r="C34">
        <v>8.3919700000000006</v>
      </c>
      <c r="D34" s="5">
        <f t="shared" si="0"/>
        <v>3.9350290810441297</v>
      </c>
    </row>
    <row r="35" spans="2:4" x14ac:dyDescent="0.25">
      <c r="B35">
        <v>36</v>
      </c>
      <c r="C35">
        <v>10.0747</v>
      </c>
      <c r="D35" s="5">
        <f t="shared" si="0"/>
        <v>3.9403374287968735</v>
      </c>
    </row>
    <row r="36" spans="2:4" x14ac:dyDescent="0.25">
      <c r="B36">
        <v>42</v>
      </c>
      <c r="C36">
        <v>11.7597</v>
      </c>
      <c r="D36" s="5">
        <f t="shared" si="0"/>
        <v>3.9468851705183132</v>
      </c>
    </row>
    <row r="37" spans="2:4" x14ac:dyDescent="0.25">
      <c r="B37">
        <v>48</v>
      </c>
      <c r="C37">
        <v>13.4475</v>
      </c>
      <c r="D37" s="5">
        <f t="shared" si="0"/>
        <v>3.9543683039142516</v>
      </c>
    </row>
    <row r="38" spans="2:4" x14ac:dyDescent="0.25">
      <c r="B38">
        <v>54</v>
      </c>
      <c r="C38">
        <v>15.138500000000001</v>
      </c>
      <c r="D38" s="6">
        <f t="shared" si="0"/>
        <v>3.9625529810660485</v>
      </c>
    </row>
    <row r="39" spans="2:4" x14ac:dyDescent="0.25">
      <c r="B39">
        <v>60</v>
      </c>
      <c r="C39">
        <v>16.832999999999998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cp:lastPrinted>2021-09-30T17:00:34Z</cp:lastPrinted>
  <dcterms:created xsi:type="dcterms:W3CDTF">2021-09-30T13:22:17Z</dcterms:created>
  <dcterms:modified xsi:type="dcterms:W3CDTF">2021-09-30T17:01:29Z</dcterms:modified>
</cp:coreProperties>
</file>