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SCG_004C\"/>
    </mc:Choice>
  </mc:AlternateContent>
  <xr:revisionPtr revIDLastSave="0" documentId="13_ncr:1_{FE89680A-53CD-41C2-BD79-1FB59DBC1FC8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" l="1"/>
  <c r="L24" i="1"/>
  <c r="R30" i="1"/>
  <c r="Q30" i="1"/>
  <c r="P30" i="1"/>
  <c r="O30" i="1"/>
  <c r="N30" i="1"/>
  <c r="M30" i="1"/>
  <c r="L30" i="1"/>
  <c r="R29" i="1"/>
  <c r="Q29" i="1"/>
  <c r="P29" i="1"/>
  <c r="O29" i="1"/>
  <c r="N29" i="1"/>
  <c r="M29" i="1"/>
  <c r="L29" i="1"/>
  <c r="R28" i="1"/>
  <c r="P28" i="1"/>
  <c r="O28" i="1"/>
  <c r="N28" i="1"/>
  <c r="M28" i="1"/>
  <c r="L28" i="1"/>
  <c r="R27" i="1"/>
  <c r="Q27" i="1"/>
  <c r="P27" i="1"/>
  <c r="O27" i="1"/>
  <c r="N27" i="1"/>
  <c r="M27" i="1"/>
  <c r="L27" i="1"/>
  <c r="R26" i="1"/>
  <c r="Q26" i="1"/>
  <c r="P26" i="1"/>
  <c r="O26" i="1"/>
  <c r="N26" i="1"/>
  <c r="M26" i="1"/>
  <c r="L26" i="1"/>
  <c r="R25" i="1"/>
  <c r="Q25" i="1"/>
  <c r="P25" i="1"/>
  <c r="O25" i="1"/>
  <c r="N25" i="1"/>
  <c r="M25" i="1"/>
  <c r="L25" i="1"/>
  <c r="R24" i="1"/>
  <c r="Q24" i="1"/>
  <c r="P24" i="1"/>
  <c r="O24" i="1"/>
  <c r="N24" i="1"/>
  <c r="M24" i="1"/>
  <c r="L15" i="1"/>
  <c r="M15" i="1"/>
  <c r="N15" i="1"/>
  <c r="O15" i="1"/>
  <c r="P15" i="1"/>
  <c r="Q15" i="1"/>
  <c r="R15" i="1"/>
  <c r="L16" i="1"/>
  <c r="M16" i="1"/>
  <c r="N16" i="1"/>
  <c r="O16" i="1"/>
  <c r="P16" i="1"/>
  <c r="Q16" i="1"/>
  <c r="R16" i="1"/>
  <c r="L17" i="1"/>
  <c r="M17" i="1"/>
  <c r="N17" i="1"/>
  <c r="O17" i="1"/>
  <c r="P17" i="1"/>
  <c r="Q17" i="1"/>
  <c r="R17" i="1"/>
  <c r="L18" i="1"/>
  <c r="M18" i="1"/>
  <c r="N18" i="1"/>
  <c r="O18" i="1"/>
  <c r="P18" i="1"/>
  <c r="Q18" i="1"/>
  <c r="R18" i="1"/>
  <c r="L19" i="1"/>
  <c r="M19" i="1"/>
  <c r="N19" i="1"/>
  <c r="O19" i="1"/>
  <c r="P19" i="1"/>
  <c r="Q19" i="1"/>
  <c r="R19" i="1"/>
  <c r="L20" i="1"/>
  <c r="M20" i="1"/>
  <c r="N20" i="1"/>
  <c r="O20" i="1"/>
  <c r="P20" i="1"/>
  <c r="Q20" i="1"/>
  <c r="R20" i="1"/>
  <c r="M14" i="1"/>
  <c r="N14" i="1"/>
  <c r="O14" i="1"/>
  <c r="P14" i="1"/>
  <c r="Q14" i="1"/>
  <c r="R14" i="1"/>
  <c r="L14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C25" i="1"/>
  <c r="C26" i="1"/>
  <c r="C27" i="1"/>
  <c r="C28" i="1"/>
  <c r="C29" i="1"/>
  <c r="C30" i="1"/>
  <c r="C24" i="1"/>
  <c r="C20" i="1"/>
  <c r="D20" i="1"/>
  <c r="E20" i="1"/>
  <c r="F20" i="1"/>
  <c r="G20" i="1"/>
  <c r="H20" i="1"/>
  <c r="I20" i="1"/>
  <c r="H4" i="1"/>
  <c r="D9" i="1" s="1"/>
  <c r="H3" i="1"/>
  <c r="C9" i="1" s="1"/>
  <c r="C6" i="1" l="1"/>
  <c r="D3" i="1"/>
  <c r="D6" i="1"/>
  <c r="C3" i="1"/>
  <c r="C7" i="1"/>
  <c r="D7" i="1"/>
  <c r="C4" i="1"/>
  <c r="C8" i="1"/>
  <c r="D4" i="1"/>
  <c r="D8" i="1"/>
  <c r="C5" i="1"/>
  <c r="D5" i="1"/>
</calcChain>
</file>

<file path=xl/sharedStrings.xml><?xml version="1.0" encoding="utf-8"?>
<sst xmlns="http://schemas.openxmlformats.org/spreadsheetml/2006/main" count="14" uniqueCount="11">
  <si>
    <t>Passo Ghiera [mm]</t>
  </si>
  <si>
    <t>Front</t>
  </si>
  <si>
    <t>Rear</t>
  </si>
  <si>
    <t>Preload [mm]</t>
  </si>
  <si>
    <t>From / To</t>
  </si>
  <si>
    <t>FrontWheel Load [N]</t>
  </si>
  <si>
    <t>RearWheel Load [N]</t>
  </si>
  <si>
    <r>
      <t>FRONT Deltas</t>
    </r>
    <r>
      <rPr>
        <b/>
        <i/>
        <sz val="12"/>
        <color rgb="FFFF0000"/>
        <rFont val="Calibri"/>
        <family val="2"/>
        <scheme val="minor"/>
      </rPr>
      <t xml:space="preserve"> [giri Ghiera]</t>
    </r>
  </si>
  <si>
    <r>
      <t xml:space="preserve">FRONT Deltas </t>
    </r>
    <r>
      <rPr>
        <b/>
        <i/>
        <sz val="12"/>
        <color rgb="FFFF0000"/>
        <rFont val="Calibri"/>
        <family val="2"/>
        <scheme val="minor"/>
      </rPr>
      <t>[mm]</t>
    </r>
  </si>
  <si>
    <r>
      <t xml:space="preserve">FRONT Deltas </t>
    </r>
    <r>
      <rPr>
        <b/>
        <i/>
        <sz val="12"/>
        <color rgb="FFFF0000"/>
        <rFont val="Calibri"/>
        <family val="2"/>
        <scheme val="minor"/>
      </rPr>
      <t>[giri Ghiera]</t>
    </r>
  </si>
  <si>
    <r>
      <t xml:space="preserve">REAR Deltas </t>
    </r>
    <r>
      <rPr>
        <b/>
        <i/>
        <sz val="12"/>
        <color rgb="FFFF0000"/>
        <rFont val="Calibri"/>
        <family val="2"/>
        <scheme val="minor"/>
      </rPr>
      <t>[mm]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</si>
</sst>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164" fontId="0" fillId="0" borderId="0" xfId="0" applyNumberFormat="1" applyBorder="1"/>
    <xf numFmtId="2" fontId="0" fillId="0" borderId="0" xfId="0" applyNumberFormat="1" applyBorder="1"/>
    <xf numFmtId="2" fontId="0" fillId="0" borderId="12" xfId="0" applyNumberFormat="1" applyBorder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2" borderId="2" xfId="1" applyNumberForma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1" fillId="2" borderId="15" xfId="1" applyNumberFormat="1" applyBorder="1"/>
    <xf numFmtId="2" fontId="1" fillId="2" borderId="16" xfId="1" applyNumberFormat="1" applyBorder="1"/>
    <xf numFmtId="0" fontId="3" fillId="0" borderId="9" xfId="0" applyFont="1" applyBorder="1" applyAlignment="1">
      <alignment horizontal="center"/>
    </xf>
    <xf numFmtId="2" fontId="0" fillId="0" borderId="18" xfId="0" applyNumberFormat="1" applyBorder="1"/>
    <xf numFmtId="164" fontId="0" fillId="0" borderId="12" xfId="0" applyNumberFormat="1" applyBorder="1"/>
    <xf numFmtId="164" fontId="0" fillId="0" borderId="18" xfId="0" applyNumberFormat="1" applyBorder="1"/>
    <xf numFmtId="0" fontId="4" fillId="0" borderId="0" xfId="0" applyFont="1" applyFill="1" applyBorder="1" applyAlignment="1">
      <alignment horizontal="left"/>
    </xf>
    <xf numFmtId="0" fontId="4" fillId="0" borderId="0" xfId="0" applyFont="1"/>
    <xf numFmtId="0" fontId="0" fillId="3" borderId="11" xfId="0" applyFill="1" applyBorder="1"/>
    <xf numFmtId="0" fontId="0" fillId="3" borderId="13" xfId="0" applyFill="1" applyBorder="1"/>
    <xf numFmtId="0" fontId="0" fillId="4" borderId="17" xfId="0" applyFill="1" applyBorder="1"/>
    <xf numFmtId="0" fontId="0" fillId="4" borderId="10" xfId="0" applyFill="1" applyBorder="1"/>
    <xf numFmtId="2" fontId="0" fillId="5" borderId="0" xfId="0" applyNumberFormat="1" applyFill="1" applyBorder="1"/>
    <xf numFmtId="2" fontId="0" fillId="5" borderId="14" xfId="0" applyNumberFormat="1" applyFill="1" applyBorder="1"/>
    <xf numFmtId="164" fontId="0" fillId="5" borderId="0" xfId="0" applyNumberFormat="1" applyFill="1" applyBorder="1"/>
    <xf numFmtId="164" fontId="0" fillId="5" borderId="14" xfId="0" applyNumberFormat="1" applyFill="1" applyBorder="1"/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30"/>
  <sheetViews>
    <sheetView tabSelected="1" workbookViewId="0">
      <selection activeCell="F8" sqref="F8"/>
    </sheetView>
  </sheetViews>
  <sheetFormatPr defaultRowHeight="15" x14ac:dyDescent="0.25"/>
  <cols>
    <col min="1" max="1" width="3.7109375" customWidth="1"/>
    <col min="2" max="2" width="13.28515625" bestFit="1" customWidth="1"/>
    <col min="7" max="7" width="10" customWidth="1"/>
    <col min="11" max="11" width="13.28515625" customWidth="1"/>
  </cols>
  <sheetData>
    <row r="2" spans="2:18" x14ac:dyDescent="0.25">
      <c r="B2" s="10" t="s">
        <v>3</v>
      </c>
      <c r="C2" s="37" t="s">
        <v>1</v>
      </c>
      <c r="D2" s="38" t="s">
        <v>2</v>
      </c>
      <c r="F2" s="12" t="s">
        <v>0</v>
      </c>
      <c r="G2" s="13"/>
      <c r="H2" s="11">
        <v>1.5</v>
      </c>
    </row>
    <row r="3" spans="2:18" x14ac:dyDescent="0.25">
      <c r="B3" s="34">
        <v>120</v>
      </c>
      <c r="C3" s="4">
        <f>$H$3/B3</f>
        <v>19.681312500000001</v>
      </c>
      <c r="D3" s="5">
        <f>$H$4/B3</f>
        <v>27.795000000000002</v>
      </c>
      <c r="F3" s="14" t="s">
        <v>5</v>
      </c>
      <c r="G3" s="15"/>
      <c r="H3" s="18">
        <f>((297.5+264)/2 - 40)*9.81</f>
        <v>2361.7575000000002</v>
      </c>
    </row>
    <row r="4" spans="2:18" x14ac:dyDescent="0.25">
      <c r="B4" s="35">
        <v>150</v>
      </c>
      <c r="C4" s="6">
        <f>$H$3/B4</f>
        <v>15.745050000000001</v>
      </c>
      <c r="D4" s="7">
        <f>$H$4/B4</f>
        <v>22.236000000000001</v>
      </c>
      <c r="F4" s="16" t="s">
        <v>6</v>
      </c>
      <c r="G4" s="17"/>
      <c r="H4" s="19">
        <f>((363+417)/2 - 50)*9.81</f>
        <v>3335.4</v>
      </c>
    </row>
    <row r="5" spans="2:18" x14ac:dyDescent="0.25">
      <c r="B5" s="35">
        <v>170</v>
      </c>
      <c r="C5" s="6">
        <f>$H$3/B5</f>
        <v>13.892691176470588</v>
      </c>
      <c r="D5" s="7">
        <f>$H$4/B5</f>
        <v>19.62</v>
      </c>
    </row>
    <row r="6" spans="2:18" x14ac:dyDescent="0.25">
      <c r="B6" s="35">
        <v>190</v>
      </c>
      <c r="C6" s="6">
        <f>$H$3/B6</f>
        <v>12.430302631578948</v>
      </c>
      <c r="D6" s="7">
        <f>$H$4/B6</f>
        <v>17.554736842105264</v>
      </c>
      <c r="H6" s="2"/>
      <c r="I6" s="2"/>
    </row>
    <row r="7" spans="2:18" x14ac:dyDescent="0.25">
      <c r="B7" s="35">
        <v>210</v>
      </c>
      <c r="C7" s="6">
        <f>$H$3/B7</f>
        <v>11.246464285714287</v>
      </c>
      <c r="D7" s="7">
        <f>$H$4/B7</f>
        <v>15.882857142857143</v>
      </c>
      <c r="H7" s="2"/>
      <c r="I7" s="2"/>
    </row>
    <row r="8" spans="2:18" x14ac:dyDescent="0.25">
      <c r="B8" s="35">
        <v>230</v>
      </c>
      <c r="C8" s="6">
        <f>$H$3/B8</f>
        <v>10.268510869565219</v>
      </c>
      <c r="D8" s="7">
        <f>$H$4/B8</f>
        <v>14.501739130434784</v>
      </c>
    </row>
    <row r="9" spans="2:18" x14ac:dyDescent="0.25">
      <c r="B9" s="36">
        <v>250</v>
      </c>
      <c r="C9" s="8">
        <f>$H$3/B9</f>
        <v>9.4470299999999998</v>
      </c>
      <c r="D9" s="9">
        <f>$H$4/B9</f>
        <v>13.3416</v>
      </c>
    </row>
    <row r="12" spans="2:18" ht="15.75" x14ac:dyDescent="0.25">
      <c r="B12" s="24" t="s">
        <v>8</v>
      </c>
      <c r="K12" s="25" t="s">
        <v>7</v>
      </c>
      <c r="L12" s="25"/>
    </row>
    <row r="13" spans="2:18" x14ac:dyDescent="0.25">
      <c r="B13" s="20" t="s">
        <v>4</v>
      </c>
      <c r="C13" s="28">
        <v>120</v>
      </c>
      <c r="D13" s="28">
        <v>150</v>
      </c>
      <c r="E13" s="28">
        <v>170</v>
      </c>
      <c r="F13" s="28">
        <v>190</v>
      </c>
      <c r="G13" s="28">
        <v>210</v>
      </c>
      <c r="H13" s="28">
        <v>230</v>
      </c>
      <c r="I13" s="29">
        <v>250</v>
      </c>
      <c r="K13" s="20" t="s">
        <v>4</v>
      </c>
      <c r="L13" s="28">
        <v>120</v>
      </c>
      <c r="M13" s="28">
        <v>150</v>
      </c>
      <c r="N13" s="28">
        <v>170</v>
      </c>
      <c r="O13" s="28">
        <v>190</v>
      </c>
      <c r="P13" s="28">
        <v>210</v>
      </c>
      <c r="Q13" s="28">
        <v>230</v>
      </c>
      <c r="R13" s="29">
        <v>250</v>
      </c>
    </row>
    <row r="14" spans="2:18" x14ac:dyDescent="0.25">
      <c r="B14" s="26">
        <v>120</v>
      </c>
      <c r="C14" s="30">
        <f>_xlfn.XLOOKUP(C$13,$B$3:$B$9,$C$3:$C$9)-$C3</f>
        <v>0</v>
      </c>
      <c r="D14" s="2">
        <f t="shared" ref="D14:I14" si="0">_xlfn.XLOOKUP(D$13,$B$3:$B$9,$C$3:$C$9)-$C3</f>
        <v>-3.9362624999999998</v>
      </c>
      <c r="E14" s="2">
        <f t="shared" si="0"/>
        <v>-5.7886213235294122</v>
      </c>
      <c r="F14" s="2">
        <f t="shared" si="0"/>
        <v>-7.2510098684210522</v>
      </c>
      <c r="G14" s="2">
        <f t="shared" si="0"/>
        <v>-8.4348482142857133</v>
      </c>
      <c r="H14" s="2">
        <f t="shared" si="0"/>
        <v>-9.4128016304347817</v>
      </c>
      <c r="I14" s="3">
        <f t="shared" si="0"/>
        <v>-10.234282500000001</v>
      </c>
      <c r="K14" s="26">
        <v>120</v>
      </c>
      <c r="L14" s="32">
        <f>C14/$H$2</f>
        <v>0</v>
      </c>
      <c r="M14" s="1">
        <f t="shared" ref="M14:R14" si="1">D14/$H$2</f>
        <v>-2.6241749999999997</v>
      </c>
      <c r="N14" s="1">
        <f t="shared" si="1"/>
        <v>-3.8590808823529414</v>
      </c>
      <c r="O14" s="1">
        <f t="shared" si="1"/>
        <v>-4.8340065789473678</v>
      </c>
      <c r="P14" s="1">
        <f t="shared" si="1"/>
        <v>-5.6232321428571419</v>
      </c>
      <c r="Q14" s="1">
        <f t="shared" si="1"/>
        <v>-6.2752010869565211</v>
      </c>
      <c r="R14" s="22">
        <f t="shared" si="1"/>
        <v>-6.8228550000000006</v>
      </c>
    </row>
    <row r="15" spans="2:18" x14ac:dyDescent="0.25">
      <c r="B15" s="26">
        <v>150</v>
      </c>
      <c r="C15" s="2">
        <f>_xlfn.XLOOKUP(C$13,$B$3:$B$9,$C$3:$C$9)-$C4</f>
        <v>3.9362624999999998</v>
      </c>
      <c r="D15" s="30">
        <f t="shared" ref="D15:I15" si="2">_xlfn.XLOOKUP(D$13,$B$3:$B$9,$C$3:$C$9)-$C4</f>
        <v>0</v>
      </c>
      <c r="E15" s="2">
        <f t="shared" si="2"/>
        <v>-1.8523588235294124</v>
      </c>
      <c r="F15" s="2">
        <f t="shared" si="2"/>
        <v>-3.3147473684210524</v>
      </c>
      <c r="G15" s="2">
        <f t="shared" si="2"/>
        <v>-4.4985857142857135</v>
      </c>
      <c r="H15" s="2">
        <f t="shared" si="2"/>
        <v>-5.4765391304347819</v>
      </c>
      <c r="I15" s="3">
        <f t="shared" si="2"/>
        <v>-6.2980200000000011</v>
      </c>
      <c r="K15" s="26">
        <v>150</v>
      </c>
      <c r="L15" s="1">
        <f t="shared" ref="L15:L20" si="3">C15/$H$2</f>
        <v>2.6241749999999997</v>
      </c>
      <c r="M15" s="32">
        <f t="shared" ref="M15:M20" si="4">D15/$H$2</f>
        <v>0</v>
      </c>
      <c r="N15" s="1">
        <f t="shared" ref="N15:N20" si="5">E15/$H$2</f>
        <v>-1.2349058823529415</v>
      </c>
      <c r="O15" s="1">
        <f t="shared" ref="O15:O20" si="6">F15/$H$2</f>
        <v>-2.2098315789473681</v>
      </c>
      <c r="P15" s="1">
        <f t="shared" ref="P15:P20" si="7">G15/$H$2</f>
        <v>-2.9990571428571422</v>
      </c>
      <c r="Q15" s="1">
        <f t="shared" ref="Q15:Q20" si="8">H15/$H$2</f>
        <v>-3.6510260869565214</v>
      </c>
      <c r="R15" s="22">
        <f t="shared" ref="R15:R20" si="9">I15/$H$2</f>
        <v>-4.1986800000000004</v>
      </c>
    </row>
    <row r="16" spans="2:18" x14ac:dyDescent="0.25">
      <c r="B16" s="26">
        <v>170</v>
      </c>
      <c r="C16" s="2">
        <f>_xlfn.XLOOKUP(C$13,$B$3:$B$9,$C$3:$C$9)-$C5</f>
        <v>5.7886213235294122</v>
      </c>
      <c r="D16" s="2">
        <f t="shared" ref="C16:I20" si="10">_xlfn.XLOOKUP(D$13,$B$3:$B$9,$C$3:$C$9)-$C5</f>
        <v>1.8523588235294124</v>
      </c>
      <c r="E16" s="30">
        <f t="shared" si="10"/>
        <v>0</v>
      </c>
      <c r="F16" s="2">
        <f t="shared" si="10"/>
        <v>-1.4623885448916401</v>
      </c>
      <c r="G16" s="2">
        <f t="shared" si="10"/>
        <v>-2.6462268907563011</v>
      </c>
      <c r="H16" s="2">
        <f t="shared" si="10"/>
        <v>-3.6241803069053695</v>
      </c>
      <c r="I16" s="3">
        <f t="shared" si="10"/>
        <v>-4.4456611764705887</v>
      </c>
      <c r="K16" s="26">
        <v>170</v>
      </c>
      <c r="L16" s="1">
        <f t="shared" si="3"/>
        <v>3.8590808823529414</v>
      </c>
      <c r="M16" s="1">
        <f t="shared" si="4"/>
        <v>1.2349058823529415</v>
      </c>
      <c r="N16" s="32">
        <f t="shared" si="5"/>
        <v>0</v>
      </c>
      <c r="O16" s="1">
        <f t="shared" si="6"/>
        <v>-0.97492569659442674</v>
      </c>
      <c r="P16" s="1">
        <f t="shared" si="7"/>
        <v>-1.7641512605042007</v>
      </c>
      <c r="Q16" s="1">
        <f t="shared" si="8"/>
        <v>-2.4161202046035797</v>
      </c>
      <c r="R16" s="22">
        <f t="shared" si="9"/>
        <v>-2.9637741176470591</v>
      </c>
    </row>
    <row r="17" spans="2:18" x14ac:dyDescent="0.25">
      <c r="B17" s="26">
        <v>190</v>
      </c>
      <c r="C17" s="2">
        <f>_xlfn.XLOOKUP(C$13,$B$3:$B$9,$C$3:$C$9)-$C6</f>
        <v>7.2510098684210522</v>
      </c>
      <c r="D17" s="2">
        <f t="shared" si="10"/>
        <v>3.3147473684210524</v>
      </c>
      <c r="E17" s="2">
        <f t="shared" si="10"/>
        <v>1.4623885448916401</v>
      </c>
      <c r="F17" s="30">
        <f t="shared" si="10"/>
        <v>0</v>
      </c>
      <c r="G17" s="2">
        <f t="shared" si="10"/>
        <v>-1.1838383458646611</v>
      </c>
      <c r="H17" s="2">
        <f t="shared" si="10"/>
        <v>-2.1617917620137295</v>
      </c>
      <c r="I17" s="3">
        <f t="shared" si="10"/>
        <v>-2.9832726315789486</v>
      </c>
      <c r="K17" s="26">
        <v>190</v>
      </c>
      <c r="L17" s="1">
        <f t="shared" si="3"/>
        <v>4.8340065789473678</v>
      </c>
      <c r="M17" s="1">
        <f t="shared" si="4"/>
        <v>2.2098315789473681</v>
      </c>
      <c r="N17" s="1">
        <f t="shared" si="5"/>
        <v>0.97492569659442674</v>
      </c>
      <c r="O17" s="32">
        <f t="shared" si="6"/>
        <v>0</v>
      </c>
      <c r="P17" s="1">
        <f t="shared" si="7"/>
        <v>-0.78922556390977405</v>
      </c>
      <c r="Q17" s="1">
        <f t="shared" si="8"/>
        <v>-1.4411945080091531</v>
      </c>
      <c r="R17" s="22">
        <f t="shared" si="9"/>
        <v>-1.9888484210526325</v>
      </c>
    </row>
    <row r="18" spans="2:18" x14ac:dyDescent="0.25">
      <c r="B18" s="26">
        <v>210</v>
      </c>
      <c r="C18" s="2">
        <f>_xlfn.XLOOKUP(C$13,$B$3:$B$9,$C$3:$C$9)-$C7</f>
        <v>8.4348482142857133</v>
      </c>
      <c r="D18" s="2">
        <f t="shared" si="10"/>
        <v>4.4985857142857135</v>
      </c>
      <c r="E18" s="2">
        <f t="shared" si="10"/>
        <v>2.6462268907563011</v>
      </c>
      <c r="F18" s="2">
        <f t="shared" si="10"/>
        <v>1.1838383458646611</v>
      </c>
      <c r="G18" s="30">
        <f t="shared" si="10"/>
        <v>0</v>
      </c>
      <c r="H18" s="2">
        <f t="shared" si="10"/>
        <v>-0.97795341614906839</v>
      </c>
      <c r="I18" s="3">
        <f t="shared" si="10"/>
        <v>-1.7994342857142875</v>
      </c>
      <c r="K18" s="26">
        <v>210</v>
      </c>
      <c r="L18" s="1">
        <f t="shared" si="3"/>
        <v>5.6232321428571419</v>
      </c>
      <c r="M18" s="1">
        <f t="shared" si="4"/>
        <v>2.9990571428571422</v>
      </c>
      <c r="N18" s="1">
        <f t="shared" si="5"/>
        <v>1.7641512605042007</v>
      </c>
      <c r="O18" s="1">
        <f t="shared" si="6"/>
        <v>0.78922556390977405</v>
      </c>
      <c r="P18" s="32">
        <f t="shared" si="7"/>
        <v>0</v>
      </c>
      <c r="Q18" s="1">
        <f t="shared" si="8"/>
        <v>-0.65196894409937889</v>
      </c>
      <c r="R18" s="22">
        <f t="shared" si="9"/>
        <v>-1.1996228571428584</v>
      </c>
    </row>
    <row r="19" spans="2:18" x14ac:dyDescent="0.25">
      <c r="B19" s="26">
        <v>230</v>
      </c>
      <c r="C19" s="2">
        <f>_xlfn.XLOOKUP(C$13,$B$3:$B$9,$C$3:$C$9)-$C8</f>
        <v>9.4128016304347817</v>
      </c>
      <c r="D19" s="2">
        <f t="shared" si="10"/>
        <v>5.4765391304347819</v>
      </c>
      <c r="E19" s="2">
        <f t="shared" si="10"/>
        <v>3.6241803069053695</v>
      </c>
      <c r="F19" s="2">
        <f t="shared" si="10"/>
        <v>2.1617917620137295</v>
      </c>
      <c r="G19" s="2">
        <f t="shared" si="10"/>
        <v>0.97795341614906839</v>
      </c>
      <c r="H19" s="30">
        <f t="shared" si="10"/>
        <v>0</v>
      </c>
      <c r="I19" s="3">
        <f t="shared" si="10"/>
        <v>-0.82148086956521915</v>
      </c>
      <c r="K19" s="26">
        <v>230</v>
      </c>
      <c r="L19" s="1">
        <f t="shared" si="3"/>
        <v>6.2752010869565211</v>
      </c>
      <c r="M19" s="1">
        <f t="shared" si="4"/>
        <v>3.6510260869565214</v>
      </c>
      <c r="N19" s="1">
        <f t="shared" si="5"/>
        <v>2.4161202046035797</v>
      </c>
      <c r="O19" s="1">
        <f t="shared" si="6"/>
        <v>1.4411945080091531</v>
      </c>
      <c r="P19" s="1">
        <f t="shared" si="7"/>
        <v>0.65196894409937889</v>
      </c>
      <c r="Q19" s="32">
        <f t="shared" si="8"/>
        <v>0</v>
      </c>
      <c r="R19" s="22">
        <f t="shared" si="9"/>
        <v>-0.54765391304347943</v>
      </c>
    </row>
    <row r="20" spans="2:18" x14ac:dyDescent="0.25">
      <c r="B20" s="27">
        <v>250</v>
      </c>
      <c r="C20" s="21">
        <f>_xlfn.XLOOKUP(C$13,$B$3:$B$9,$C$3:$C$9)-$C9</f>
        <v>10.234282500000001</v>
      </c>
      <c r="D20" s="21">
        <f t="shared" si="10"/>
        <v>6.2980200000000011</v>
      </c>
      <c r="E20" s="21">
        <f t="shared" si="10"/>
        <v>4.4456611764705887</v>
      </c>
      <c r="F20" s="21">
        <f t="shared" si="10"/>
        <v>2.9832726315789486</v>
      </c>
      <c r="G20" s="21">
        <f t="shared" si="10"/>
        <v>1.7994342857142875</v>
      </c>
      <c r="H20" s="21">
        <f t="shared" si="10"/>
        <v>0.82148086956521915</v>
      </c>
      <c r="I20" s="31">
        <f t="shared" si="10"/>
        <v>0</v>
      </c>
      <c r="K20" s="27">
        <v>250</v>
      </c>
      <c r="L20" s="23">
        <f t="shared" si="3"/>
        <v>6.8228550000000006</v>
      </c>
      <c r="M20" s="23">
        <f t="shared" si="4"/>
        <v>4.1986800000000004</v>
      </c>
      <c r="N20" s="23">
        <f t="shared" si="5"/>
        <v>2.9637741176470591</v>
      </c>
      <c r="O20" s="23">
        <f t="shared" si="6"/>
        <v>1.9888484210526325</v>
      </c>
      <c r="P20" s="23">
        <f t="shared" si="7"/>
        <v>1.1996228571428584</v>
      </c>
      <c r="Q20" s="23">
        <f t="shared" si="8"/>
        <v>0.54765391304347943</v>
      </c>
      <c r="R20" s="33">
        <f t="shared" si="9"/>
        <v>0</v>
      </c>
    </row>
    <row r="22" spans="2:18" ht="15.75" x14ac:dyDescent="0.25">
      <c r="B22" s="24" t="s">
        <v>10</v>
      </c>
      <c r="K22" s="24" t="s">
        <v>9</v>
      </c>
    </row>
    <row r="23" spans="2:18" x14ac:dyDescent="0.25">
      <c r="B23" s="20" t="s">
        <v>4</v>
      </c>
      <c r="C23" s="28">
        <v>120</v>
      </c>
      <c r="D23" s="28">
        <v>150</v>
      </c>
      <c r="E23" s="28">
        <v>170</v>
      </c>
      <c r="F23" s="28">
        <v>190</v>
      </c>
      <c r="G23" s="28">
        <v>210</v>
      </c>
      <c r="H23" s="28">
        <v>230</v>
      </c>
      <c r="I23" s="29">
        <v>250</v>
      </c>
      <c r="K23" s="20" t="s">
        <v>4</v>
      </c>
      <c r="L23" s="28">
        <v>120</v>
      </c>
      <c r="M23" s="28">
        <v>150</v>
      </c>
      <c r="N23" s="28">
        <v>170</v>
      </c>
      <c r="O23" s="28">
        <v>190</v>
      </c>
      <c r="P23" s="28">
        <v>210</v>
      </c>
      <c r="Q23" s="28">
        <v>230</v>
      </c>
      <c r="R23" s="29">
        <v>250</v>
      </c>
    </row>
    <row r="24" spans="2:18" x14ac:dyDescent="0.25">
      <c r="B24" s="26">
        <v>120</v>
      </c>
      <c r="C24" s="30">
        <f>_xlfn.XLOOKUP(C$23,$B$3:$B$9,$D$3:$D$9)-$D3</f>
        <v>0</v>
      </c>
      <c r="D24" s="2">
        <f t="shared" ref="D24:I24" si="11">_xlfn.XLOOKUP(D$23,$B$3:$B$9,$D$3:$D$9)-$D3</f>
        <v>-5.5590000000000011</v>
      </c>
      <c r="E24" s="2">
        <f t="shared" si="11"/>
        <v>-8.1750000000000007</v>
      </c>
      <c r="F24" s="2">
        <f t="shared" si="11"/>
        <v>-10.240263157894738</v>
      </c>
      <c r="G24" s="2">
        <f t="shared" si="11"/>
        <v>-11.912142857142859</v>
      </c>
      <c r="H24" s="2">
        <f t="shared" si="11"/>
        <v>-13.293260869565218</v>
      </c>
      <c r="I24" s="3">
        <f t="shared" si="11"/>
        <v>-14.453400000000002</v>
      </c>
      <c r="K24" s="26">
        <v>120</v>
      </c>
      <c r="L24" s="32">
        <f>C24/$H$2</f>
        <v>0</v>
      </c>
      <c r="M24" s="1">
        <f t="shared" ref="M24:M30" si="12">D24/$H$2</f>
        <v>-3.7060000000000008</v>
      </c>
      <c r="N24" s="1">
        <f t="shared" ref="N24:N30" si="13">E24/$H$2</f>
        <v>-5.45</v>
      </c>
      <c r="O24" s="1">
        <f t="shared" ref="O24:O30" si="14">F24/$H$2</f>
        <v>-6.8268421052631583</v>
      </c>
      <c r="P24" s="1">
        <f t="shared" ref="P24:P30" si="15">G24/$H$2</f>
        <v>-7.9414285714285731</v>
      </c>
      <c r="Q24" s="1">
        <f t="shared" ref="Q24:Q30" si="16">H24/$H$2</f>
        <v>-8.8621739130434793</v>
      </c>
      <c r="R24" s="22">
        <f t="shared" ref="R24:R30" si="17">I24/$H$2</f>
        <v>-9.6356000000000019</v>
      </c>
    </row>
    <row r="25" spans="2:18" x14ac:dyDescent="0.25">
      <c r="B25" s="26">
        <v>150</v>
      </c>
      <c r="C25" s="2">
        <f t="shared" ref="C25:I30" si="18">_xlfn.XLOOKUP(C$23,$B$3:$B$9,$D$3:$D$9)-$D4</f>
        <v>5.5590000000000011</v>
      </c>
      <c r="D25" s="30">
        <f t="shared" ref="D25:I25" si="19">_xlfn.XLOOKUP(D$23,$B$3:$B$9,$D$3:$D$9)-$D4</f>
        <v>0</v>
      </c>
      <c r="E25" s="2">
        <f t="shared" si="19"/>
        <v>-2.6159999999999997</v>
      </c>
      <c r="F25" s="2">
        <f t="shared" si="19"/>
        <v>-4.6812631578947368</v>
      </c>
      <c r="G25" s="2">
        <f t="shared" si="19"/>
        <v>-6.3531428571428581</v>
      </c>
      <c r="H25" s="2">
        <f t="shared" si="19"/>
        <v>-7.7342608695652171</v>
      </c>
      <c r="I25" s="3">
        <f t="shared" si="19"/>
        <v>-8.894400000000001</v>
      </c>
      <c r="K25" s="26">
        <v>150</v>
      </c>
      <c r="L25" s="1">
        <f t="shared" ref="L25:L30" si="20">C25/$H$2</f>
        <v>3.7060000000000008</v>
      </c>
      <c r="M25" s="32">
        <f t="shared" si="12"/>
        <v>0</v>
      </c>
      <c r="N25" s="1">
        <f t="shared" si="13"/>
        <v>-1.7439999999999998</v>
      </c>
      <c r="O25" s="1">
        <f t="shared" si="14"/>
        <v>-3.1208421052631579</v>
      </c>
      <c r="P25" s="1">
        <f t="shared" si="15"/>
        <v>-4.2354285714285718</v>
      </c>
      <c r="Q25" s="1">
        <f t="shared" si="16"/>
        <v>-5.1561739130434781</v>
      </c>
      <c r="R25" s="22">
        <f t="shared" si="17"/>
        <v>-5.9296000000000006</v>
      </c>
    </row>
    <row r="26" spans="2:18" x14ac:dyDescent="0.25">
      <c r="B26" s="26">
        <v>170</v>
      </c>
      <c r="C26" s="2">
        <f t="shared" si="18"/>
        <v>8.1750000000000007</v>
      </c>
      <c r="D26" s="2">
        <f t="shared" ref="D26:I26" si="21">_xlfn.XLOOKUP(D$23,$B$3:$B$9,$D$3:$D$9)-$D5</f>
        <v>2.6159999999999997</v>
      </c>
      <c r="E26" s="30">
        <f t="shared" si="21"/>
        <v>0</v>
      </c>
      <c r="F26" s="2">
        <f t="shared" si="21"/>
        <v>-2.0652631578947371</v>
      </c>
      <c r="G26" s="2">
        <f t="shared" si="21"/>
        <v>-3.7371428571428584</v>
      </c>
      <c r="H26" s="2">
        <f t="shared" si="21"/>
        <v>-5.1182608695652174</v>
      </c>
      <c r="I26" s="3">
        <f t="shared" si="21"/>
        <v>-6.2784000000000013</v>
      </c>
      <c r="K26" s="26">
        <v>170</v>
      </c>
      <c r="L26" s="1">
        <f t="shared" si="20"/>
        <v>5.45</v>
      </c>
      <c r="M26" s="1">
        <f t="shared" si="12"/>
        <v>1.7439999999999998</v>
      </c>
      <c r="N26" s="32">
        <f t="shared" si="13"/>
        <v>0</v>
      </c>
      <c r="O26" s="1">
        <f t="shared" si="14"/>
        <v>-1.3768421052631581</v>
      </c>
      <c r="P26" s="1">
        <f t="shared" si="15"/>
        <v>-2.4914285714285724</v>
      </c>
      <c r="Q26" s="1">
        <f t="shared" si="16"/>
        <v>-3.4121739130434783</v>
      </c>
      <c r="R26" s="22">
        <f t="shared" si="17"/>
        <v>-4.1856000000000009</v>
      </c>
    </row>
    <row r="27" spans="2:18" x14ac:dyDescent="0.25">
      <c r="B27" s="26">
        <v>190</v>
      </c>
      <c r="C27" s="2">
        <f t="shared" si="18"/>
        <v>10.240263157894738</v>
      </c>
      <c r="D27" s="2">
        <f t="shared" ref="D27:I27" si="22">_xlfn.XLOOKUP(D$23,$B$3:$B$9,$D$3:$D$9)-$D6</f>
        <v>4.6812631578947368</v>
      </c>
      <c r="E27" s="2">
        <f t="shared" si="22"/>
        <v>2.0652631578947371</v>
      </c>
      <c r="F27" s="30">
        <f t="shared" si="22"/>
        <v>0</v>
      </c>
      <c r="G27" s="2">
        <f t="shared" si="22"/>
        <v>-1.6718796992481213</v>
      </c>
      <c r="H27" s="2">
        <f t="shared" si="22"/>
        <v>-3.0529977116704803</v>
      </c>
      <c r="I27" s="3">
        <f t="shared" si="22"/>
        <v>-4.2131368421052642</v>
      </c>
      <c r="K27" s="26">
        <v>190</v>
      </c>
      <c r="L27" s="1">
        <f t="shared" si="20"/>
        <v>6.8268421052631583</v>
      </c>
      <c r="M27" s="1">
        <f t="shared" si="12"/>
        <v>3.1208421052631579</v>
      </c>
      <c r="N27" s="1">
        <f t="shared" si="13"/>
        <v>1.3768421052631581</v>
      </c>
      <c r="O27" s="32">
        <f t="shared" si="14"/>
        <v>0</v>
      </c>
      <c r="P27" s="1">
        <f t="shared" si="15"/>
        <v>-1.1145864661654141</v>
      </c>
      <c r="Q27" s="1">
        <f t="shared" si="16"/>
        <v>-2.0353318077803202</v>
      </c>
      <c r="R27" s="22">
        <f t="shared" si="17"/>
        <v>-2.8087578947368428</v>
      </c>
    </row>
    <row r="28" spans="2:18" x14ac:dyDescent="0.25">
      <c r="B28" s="26">
        <v>210</v>
      </c>
      <c r="C28" s="2">
        <f t="shared" si="18"/>
        <v>11.912142857142859</v>
      </c>
      <c r="D28" s="2">
        <f t="shared" ref="D28:I28" si="23">_xlfn.XLOOKUP(D$23,$B$3:$B$9,$D$3:$D$9)-$D7</f>
        <v>6.3531428571428581</v>
      </c>
      <c r="E28" s="2">
        <f t="shared" si="23"/>
        <v>3.7371428571428584</v>
      </c>
      <c r="F28" s="2">
        <f t="shared" si="23"/>
        <v>1.6718796992481213</v>
      </c>
      <c r="G28" s="30">
        <f t="shared" si="23"/>
        <v>0</v>
      </c>
      <c r="H28" s="2">
        <f t="shared" si="23"/>
        <v>-1.381118012422359</v>
      </c>
      <c r="I28" s="3">
        <f t="shared" si="23"/>
        <v>-2.5412571428571429</v>
      </c>
      <c r="K28" s="26">
        <v>210</v>
      </c>
      <c r="L28" s="1">
        <f t="shared" si="20"/>
        <v>7.9414285714285731</v>
      </c>
      <c r="M28" s="1">
        <f t="shared" si="12"/>
        <v>4.2354285714285718</v>
      </c>
      <c r="N28" s="1">
        <f t="shared" si="13"/>
        <v>2.4914285714285724</v>
      </c>
      <c r="O28" s="1">
        <f t="shared" si="14"/>
        <v>1.1145864661654141</v>
      </c>
      <c r="P28" s="32">
        <f t="shared" si="15"/>
        <v>0</v>
      </c>
      <c r="Q28" s="1">
        <f>H28/$H$2</f>
        <v>-0.92074534161490595</v>
      </c>
      <c r="R28" s="22">
        <f t="shared" si="17"/>
        <v>-1.6941714285714287</v>
      </c>
    </row>
    <row r="29" spans="2:18" x14ac:dyDescent="0.25">
      <c r="B29" s="26">
        <v>230</v>
      </c>
      <c r="C29" s="2">
        <f t="shared" si="18"/>
        <v>13.293260869565218</v>
      </c>
      <c r="D29" s="2">
        <f t="shared" ref="D29:I29" si="24">_xlfn.XLOOKUP(D$23,$B$3:$B$9,$D$3:$D$9)-$D8</f>
        <v>7.7342608695652171</v>
      </c>
      <c r="E29" s="2">
        <f t="shared" si="24"/>
        <v>5.1182608695652174</v>
      </c>
      <c r="F29" s="2">
        <f t="shared" si="24"/>
        <v>3.0529977116704803</v>
      </c>
      <c r="G29" s="2">
        <f t="shared" si="24"/>
        <v>1.381118012422359</v>
      </c>
      <c r="H29" s="30">
        <f t="shared" si="24"/>
        <v>0</v>
      </c>
      <c r="I29" s="3">
        <f t="shared" si="24"/>
        <v>-1.1601391304347839</v>
      </c>
      <c r="K29" s="26">
        <v>230</v>
      </c>
      <c r="L29" s="1">
        <f t="shared" si="20"/>
        <v>8.8621739130434793</v>
      </c>
      <c r="M29" s="1">
        <f t="shared" si="12"/>
        <v>5.1561739130434781</v>
      </c>
      <c r="N29" s="1">
        <f t="shared" si="13"/>
        <v>3.4121739130434783</v>
      </c>
      <c r="O29" s="1">
        <f t="shared" si="14"/>
        <v>2.0353318077803202</v>
      </c>
      <c r="P29" s="1">
        <f t="shared" si="15"/>
        <v>0.92074534161490595</v>
      </c>
      <c r="Q29" s="32">
        <f t="shared" si="16"/>
        <v>0</v>
      </c>
      <c r="R29" s="22">
        <f t="shared" si="17"/>
        <v>-0.7734260869565226</v>
      </c>
    </row>
    <row r="30" spans="2:18" x14ac:dyDescent="0.25">
      <c r="B30" s="27">
        <v>250</v>
      </c>
      <c r="C30" s="21">
        <f t="shared" si="18"/>
        <v>14.453400000000002</v>
      </c>
      <c r="D30" s="21">
        <f t="shared" ref="D30:I30" si="25">_xlfn.XLOOKUP(D$23,$B$3:$B$9,$D$3:$D$9)-$D9</f>
        <v>8.894400000000001</v>
      </c>
      <c r="E30" s="21">
        <f t="shared" si="25"/>
        <v>6.2784000000000013</v>
      </c>
      <c r="F30" s="21">
        <f t="shared" si="25"/>
        <v>4.2131368421052642</v>
      </c>
      <c r="G30" s="21">
        <f t="shared" si="25"/>
        <v>2.5412571428571429</v>
      </c>
      <c r="H30" s="21">
        <f t="shared" si="25"/>
        <v>1.1601391304347839</v>
      </c>
      <c r="I30" s="31">
        <f t="shared" si="25"/>
        <v>0</v>
      </c>
      <c r="K30" s="27">
        <v>250</v>
      </c>
      <c r="L30" s="23">
        <f t="shared" si="20"/>
        <v>9.6356000000000019</v>
      </c>
      <c r="M30" s="23">
        <f t="shared" si="12"/>
        <v>5.9296000000000006</v>
      </c>
      <c r="N30" s="23">
        <f t="shared" si="13"/>
        <v>4.1856000000000009</v>
      </c>
      <c r="O30" s="23">
        <f t="shared" si="14"/>
        <v>2.8087578947368428</v>
      </c>
      <c r="P30" s="23">
        <f t="shared" si="15"/>
        <v>1.6941714285714287</v>
      </c>
      <c r="Q30" s="23">
        <f t="shared" si="16"/>
        <v>0.7734260869565226</v>
      </c>
      <c r="R30" s="33">
        <f t="shared" si="17"/>
        <v>0</v>
      </c>
    </row>
  </sheetData>
  <mergeCells count="3">
    <mergeCell ref="F2:G2"/>
    <mergeCell ref="F3:G3"/>
    <mergeCell ref="F4:G4"/>
  </mergeCells>
  <pageMargins left="0.25" right="0.25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2021-10-11T17:25:40Z</cp:lastPrinted>
  <dcterms:created xsi:type="dcterms:W3CDTF">2015-06-05T18:17:20Z</dcterms:created>
  <dcterms:modified xsi:type="dcterms:W3CDTF">2021-10-11T17:26:05Z</dcterms:modified>
</cp:coreProperties>
</file>